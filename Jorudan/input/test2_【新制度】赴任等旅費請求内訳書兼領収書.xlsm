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work\taiwak\Python\Jorudan\input\"/>
    </mc:Choice>
  </mc:AlternateContent>
  <xr:revisionPtr revIDLastSave="0" documentId="8_{9C39D149-C68D-4D29-97CA-3893777B8AB4}" xr6:coauthVersionLast="47" xr6:coauthVersionMax="47" xr10:uidLastSave="{00000000-0000-0000-0000-000000000000}"/>
  <bookViews>
    <workbookView xWindow="-80" yWindow="-80" windowWidth="19360" windowHeight="11440" tabRatio="916" xr2:uid="{00000000-000D-0000-FFFF-FFFF00000000}"/>
  </bookViews>
  <sheets>
    <sheet name="基本情報（情報連携シート）" sheetId="20" r:id="rId1"/>
    <sheet name="乗換案内検索結果入力シート" sheetId="24" r:id="rId2"/>
    <sheet name="本人旅行経路（情報連携シート）" sheetId="21" r:id="rId3"/>
    <sheet name="家族旅行経路（情報連携シート）" sheetId="41" r:id="rId4"/>
    <sheet name="請求内訳書" sheetId="42" r:id="rId5"/>
    <sheet name="請求内訳書 (予備)" sheetId="46" r:id="rId6"/>
    <sheet name="リスト" sheetId="33" state="hidden" r:id="rId7"/>
    <sheet name="経路検索" sheetId="29" state="hidden" r:id="rId8"/>
    <sheet name="経路検索1" sheetId="26" state="hidden" r:id="rId9"/>
    <sheet name="経路検索2" sheetId="27" state="hidden" r:id="rId10"/>
    <sheet name="経路検索3" sheetId="28" state="hidden" r:id="rId11"/>
    <sheet name="経路検索F" sheetId="37" state="hidden" r:id="rId12"/>
    <sheet name="経路検索1F" sheetId="38" state="hidden" r:id="rId13"/>
    <sheet name="経路検索2F" sheetId="39" state="hidden" r:id="rId14"/>
    <sheet name="経路検索3F" sheetId="40" state="hidden" r:id="rId15"/>
    <sheet name="キロマスタ" sheetId="36" state="hidden" r:id="rId16"/>
  </sheets>
  <definedNames>
    <definedName name="_xlnm._FilterDatabase" localSheetId="6" hidden="1">リスト!$C$1:$F$48</definedName>
    <definedName name="_xlnm.Print_Area" localSheetId="15">キロマスタ!$A$1:$F$28</definedName>
    <definedName name="_xlnm.Print_Area" localSheetId="3">'家族旅行経路（情報連携シート）'!$A$1:$P$47</definedName>
    <definedName name="_xlnm.Print_Area" localSheetId="0">'基本情報（情報連携シート）'!$B$2:$AB$141</definedName>
    <definedName name="_xlnm.Print_Area" localSheetId="4">請求内訳書!$A$1:$BI$48</definedName>
    <definedName name="_xlnm.Print_Area" localSheetId="2">'本人旅行経路（情報連携シート）'!$A$1:$U$60</definedName>
    <definedName name="_xlnm.Print_Titles" localSheetId="0">'基本情報（情報連携シート）'!$2:$22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25" i="42" l="1"/>
  <c r="AR8" i="46"/>
  <c r="AO8" i="46"/>
  <c r="AJ8" i="46"/>
  <c r="AR8" i="42"/>
  <c r="AO8" i="42"/>
  <c r="AJ8" i="42"/>
  <c r="K41" i="42" l="1"/>
  <c r="K42" i="42"/>
  <c r="K43" i="42"/>
  <c r="K44" i="42"/>
  <c r="K45" i="42"/>
  <c r="K40" i="42" l="1"/>
  <c r="BD29" i="42" l="1"/>
  <c r="BD22" i="42"/>
  <c r="BD21" i="42"/>
  <c r="N85" i="20" l="1"/>
  <c r="N84" i="20"/>
  <c r="N77" i="20"/>
  <c r="N76" i="20"/>
  <c r="D132" i="20" l="1"/>
  <c r="D131" i="20"/>
  <c r="D130" i="20"/>
  <c r="D129" i="20"/>
  <c r="N136" i="20" l="1"/>
  <c r="L136" i="20"/>
  <c r="J136" i="20"/>
  <c r="H136" i="20"/>
  <c r="AA108" i="20"/>
  <c r="AA100" i="20"/>
  <c r="S108" i="20"/>
  <c r="S100" i="20"/>
  <c r="K108" i="20"/>
  <c r="K100" i="20"/>
  <c r="Z89" i="20"/>
  <c r="Z88" i="20"/>
  <c r="Z85" i="20"/>
  <c r="Z84" i="20"/>
  <c r="T89" i="20"/>
  <c r="T88" i="20"/>
  <c r="T85" i="20"/>
  <c r="T84" i="20"/>
  <c r="N89" i="20"/>
  <c r="N88" i="20"/>
  <c r="H126" i="20" l="1"/>
  <c r="J126" i="20"/>
  <c r="K40" i="33"/>
  <c r="K41" i="33"/>
  <c r="K42" i="33"/>
  <c r="K43" i="33"/>
  <c r="K39" i="33"/>
  <c r="K38" i="33"/>
  <c r="K37" i="33"/>
  <c r="K36" i="33"/>
  <c r="K35" i="33"/>
  <c r="K34" i="33"/>
  <c r="K33" i="33"/>
  <c r="K32" i="33"/>
  <c r="K31" i="33"/>
  <c r="K30" i="33"/>
  <c r="K29" i="33"/>
  <c r="K28" i="33"/>
  <c r="K27" i="33"/>
  <c r="K26" i="33"/>
  <c r="K25" i="33"/>
  <c r="K24" i="33"/>
  <c r="K23" i="33"/>
  <c r="K22" i="33"/>
  <c r="K21" i="33"/>
  <c r="K20" i="33"/>
  <c r="K19" i="33"/>
  <c r="F136" i="20" s="1"/>
  <c r="K18" i="33"/>
  <c r="K17" i="33"/>
  <c r="K16" i="33"/>
  <c r="K15" i="33"/>
  <c r="K14" i="33"/>
  <c r="D136" i="20" s="1"/>
  <c r="K13" i="33"/>
  <c r="K12" i="33"/>
  <c r="N125" i="20" s="1"/>
  <c r="K11" i="33"/>
  <c r="K10" i="33"/>
  <c r="L125" i="20" s="1"/>
  <c r="K9" i="33"/>
  <c r="K8" i="33"/>
  <c r="J125" i="20" s="1"/>
  <c r="K5" i="33"/>
  <c r="K4" i="33"/>
  <c r="K3" i="33"/>
  <c r="D126" i="20" s="1"/>
  <c r="K2" i="33"/>
  <c r="D125" i="20" s="1"/>
  <c r="K7" i="33"/>
  <c r="K6" i="33"/>
  <c r="H125" i="20" l="1"/>
  <c r="F125" i="20"/>
  <c r="AK3" i="42"/>
  <c r="AH3" i="42"/>
  <c r="H40" i="42" l="1"/>
  <c r="N126" i="20"/>
  <c r="L126" i="20"/>
  <c r="Q41" i="42" l="1"/>
  <c r="Q42" i="42"/>
  <c r="C136" i="20"/>
  <c r="C129" i="20"/>
  <c r="C125" i="20"/>
  <c r="AA112" i="20"/>
  <c r="O140" i="20" s="1"/>
  <c r="AA111" i="20"/>
  <c r="O139" i="20" s="1"/>
  <c r="AA110" i="20"/>
  <c r="O138" i="20" s="1"/>
  <c r="AA109" i="20"/>
  <c r="O137" i="20" s="1"/>
  <c r="O136" i="20"/>
  <c r="AA104" i="20"/>
  <c r="AA103" i="20"/>
  <c r="AA102" i="20"/>
  <c r="AA101" i="20"/>
  <c r="I136" i="20"/>
  <c r="S112" i="20"/>
  <c r="M140" i="20" s="1"/>
  <c r="S111" i="20"/>
  <c r="M139" i="20" s="1"/>
  <c r="S110" i="20"/>
  <c r="M138" i="20" s="1"/>
  <c r="S109" i="20"/>
  <c r="M137" i="20" s="1"/>
  <c r="M136" i="20"/>
  <c r="S104" i="20"/>
  <c r="S103" i="20"/>
  <c r="S102" i="20"/>
  <c r="S101" i="20"/>
  <c r="G136" i="20"/>
  <c r="K112" i="20"/>
  <c r="K140" i="20" s="1"/>
  <c r="K111" i="20"/>
  <c r="K139" i="20" s="1"/>
  <c r="K110" i="20"/>
  <c r="K138" i="20" s="1"/>
  <c r="K109" i="20"/>
  <c r="K137" i="20" s="1"/>
  <c r="K136" i="20"/>
  <c r="K104" i="20"/>
  <c r="K103" i="20"/>
  <c r="K102" i="20"/>
  <c r="K101" i="20"/>
  <c r="E136" i="20"/>
  <c r="N132" i="20"/>
  <c r="N131" i="20"/>
  <c r="L132" i="20"/>
  <c r="J132" i="20"/>
  <c r="L131" i="20"/>
  <c r="F132" i="20"/>
  <c r="F131" i="20"/>
  <c r="T81" i="20"/>
  <c r="L130" i="20" s="1"/>
  <c r="T80" i="20"/>
  <c r="L129" i="20" s="1"/>
  <c r="T77" i="20"/>
  <c r="F130" i="20" s="1"/>
  <c r="T76" i="20"/>
  <c r="F129" i="20" s="1"/>
  <c r="J131" i="20"/>
  <c r="N81" i="20"/>
  <c r="J130" i="20" s="1"/>
  <c r="N80" i="20"/>
  <c r="J129" i="20" s="1"/>
  <c r="AQ41" i="42" l="1"/>
  <c r="AQ44" i="42"/>
  <c r="AQ43" i="42"/>
  <c r="I140" i="20"/>
  <c r="E140" i="20"/>
  <c r="E138" i="20"/>
  <c r="I139" i="20"/>
  <c r="I138" i="20"/>
  <c r="I137" i="20"/>
  <c r="G140" i="20"/>
  <c r="G139" i="20"/>
  <c r="G138" i="20"/>
  <c r="G137" i="20"/>
  <c r="E139" i="20"/>
  <c r="E137" i="20"/>
  <c r="AY30" i="42" s="1"/>
  <c r="BA29" i="42" l="1"/>
  <c r="Z81" i="20"/>
  <c r="N130" i="20" s="1"/>
  <c r="Z80" i="20"/>
  <c r="N129" i="20" l="1"/>
  <c r="AQ45" i="42" s="1"/>
  <c r="C132" i="20" l="1"/>
  <c r="C131" i="20"/>
  <c r="F46" i="41" l="1"/>
  <c r="G46" i="21"/>
  <c r="AK3" i="46" l="1"/>
  <c r="AI3" i="46"/>
  <c r="AD45" i="42"/>
  <c r="AD44" i="42"/>
  <c r="AD43" i="42"/>
  <c r="AD42" i="42"/>
  <c r="AD41" i="42"/>
  <c r="W45" i="42"/>
  <c r="W44" i="42"/>
  <c r="W43" i="42"/>
  <c r="W42" i="42"/>
  <c r="W41" i="42"/>
  <c r="Q45" i="42"/>
  <c r="Q44" i="42"/>
  <c r="Q43" i="42"/>
  <c r="AD40" i="42" l="1"/>
  <c r="W40" i="42"/>
  <c r="Q40" i="42"/>
  <c r="AY22" i="42" l="1"/>
  <c r="Q46" i="21"/>
  <c r="O46" i="21"/>
  <c r="M46" i="21"/>
  <c r="K46" i="21"/>
  <c r="I46" i="21"/>
  <c r="N137" i="20"/>
  <c r="N138" i="20"/>
  <c r="N139" i="20"/>
  <c r="N140" i="20"/>
  <c r="L140" i="20"/>
  <c r="L139" i="20"/>
  <c r="L138" i="20"/>
  <c r="L137" i="20"/>
  <c r="J140" i="20"/>
  <c r="J139" i="20"/>
  <c r="J138" i="20"/>
  <c r="J137" i="20"/>
  <c r="H140" i="20"/>
  <c r="H139" i="20"/>
  <c r="H138" i="20"/>
  <c r="H137" i="20"/>
  <c r="F140" i="20"/>
  <c r="F139" i="20"/>
  <c r="F138" i="20"/>
  <c r="F137" i="20"/>
  <c r="D140" i="20"/>
  <c r="D139" i="20"/>
  <c r="D138" i="20"/>
  <c r="D137" i="20"/>
  <c r="F126" i="20"/>
  <c r="AK45" i="42"/>
  <c r="AK42" i="42"/>
  <c r="C140" i="20"/>
  <c r="C139" i="20"/>
  <c r="C138" i="20"/>
  <c r="C137" i="20"/>
  <c r="C130" i="20"/>
  <c r="BP17" i="42" s="1"/>
  <c r="BQ17" i="42" s="1"/>
  <c r="BR17" i="42" s="1"/>
  <c r="C126" i="20"/>
  <c r="H132" i="20"/>
  <c r="H131" i="20"/>
  <c r="BK17" i="42" l="1"/>
  <c r="AX42" i="42"/>
  <c r="AY27" i="42"/>
  <c r="AX41" i="42"/>
  <c r="AX44" i="42"/>
  <c r="AX43" i="42"/>
  <c r="AK41" i="42"/>
  <c r="AX45" i="42"/>
  <c r="AK44" i="42"/>
  <c r="AK43" i="42"/>
  <c r="AS16" i="42"/>
  <c r="BA26" i="42"/>
  <c r="BK31" i="46"/>
  <c r="BK21" i="46"/>
  <c r="BK19" i="46"/>
  <c r="BK29" i="46"/>
  <c r="BK27" i="46"/>
  <c r="BK17" i="46"/>
  <c r="BK25" i="46"/>
  <c r="BK23" i="46"/>
  <c r="BP21" i="46"/>
  <c r="BP33" i="42"/>
  <c r="BP19" i="42"/>
  <c r="BP17" i="46"/>
  <c r="BQ17" i="46" s="1"/>
  <c r="BR17" i="46" s="1"/>
  <c r="BP25" i="46"/>
  <c r="BP21" i="42"/>
  <c r="BP25" i="42"/>
  <c r="BP23" i="46"/>
  <c r="BP29" i="42"/>
  <c r="BP19" i="46"/>
  <c r="BP23" i="42"/>
  <c r="BP29" i="46"/>
  <c r="BP27" i="42"/>
  <c r="BP27" i="46"/>
  <c r="BP31" i="42"/>
  <c r="BP31" i="46"/>
  <c r="BP35" i="42"/>
  <c r="BK27" i="42"/>
  <c r="BK29" i="42"/>
  <c r="BK33" i="42"/>
  <c r="BK19" i="42"/>
  <c r="BK23" i="42"/>
  <c r="BK31" i="42"/>
  <c r="BK35" i="42"/>
  <c r="BK25" i="42"/>
  <c r="BK21" i="42"/>
  <c r="Z77" i="20"/>
  <c r="H130" i="20" s="1"/>
  <c r="Z76" i="20"/>
  <c r="H129" i="20" s="1"/>
  <c r="BQ19" i="46" l="1"/>
  <c r="BR19" i="46" s="1"/>
  <c r="AS18" i="46" s="1"/>
  <c r="BQ27" i="46"/>
  <c r="BR27" i="46" s="1"/>
  <c r="AS26" i="46" s="1"/>
  <c r="BQ25" i="46"/>
  <c r="BR25" i="46" s="1"/>
  <c r="AS25" i="46" s="1"/>
  <c r="BQ29" i="46"/>
  <c r="BR29" i="46" s="1"/>
  <c r="AS29" i="46" s="1"/>
  <c r="BQ23" i="46"/>
  <c r="BR23" i="46" s="1"/>
  <c r="AS22" i="46" s="1"/>
  <c r="BQ21" i="46"/>
  <c r="BR21" i="46" s="1"/>
  <c r="AS21" i="46" s="1"/>
  <c r="BQ31" i="46"/>
  <c r="BR31" i="46" s="1"/>
  <c r="AS31" i="46" s="1"/>
  <c r="BL29" i="46"/>
  <c r="BM29" i="46" s="1"/>
  <c r="BL19" i="46"/>
  <c r="BM19" i="46" s="1"/>
  <c r="AN19" i="46" s="1"/>
  <c r="BL21" i="46"/>
  <c r="BM21" i="46" s="1"/>
  <c r="BL31" i="46"/>
  <c r="BM31" i="46" s="1"/>
  <c r="BL25" i="46"/>
  <c r="BL23" i="46"/>
  <c r="BM23" i="46" s="1"/>
  <c r="BL17" i="46"/>
  <c r="BM17" i="46" s="1"/>
  <c r="BL27" i="46"/>
  <c r="BM27" i="46" s="1"/>
  <c r="BL17" i="42"/>
  <c r="BM17" i="42" s="1"/>
  <c r="AQ16" i="42" s="1"/>
  <c r="BQ23" i="42"/>
  <c r="BR23" i="42" s="1"/>
  <c r="BQ19" i="42"/>
  <c r="BR19" i="42" s="1"/>
  <c r="AS19" i="42" s="1"/>
  <c r="BQ33" i="42"/>
  <c r="BR33" i="42" s="1"/>
  <c r="BQ35" i="42"/>
  <c r="BR35" i="42" s="1"/>
  <c r="BQ29" i="42"/>
  <c r="BR29" i="42" s="1"/>
  <c r="BQ31" i="42"/>
  <c r="BR31" i="42" s="1"/>
  <c r="AS31" i="42" s="1"/>
  <c r="BQ25" i="42"/>
  <c r="BR25" i="42" s="1"/>
  <c r="BQ27" i="42"/>
  <c r="BR27" i="42" s="1"/>
  <c r="AS26" i="42" s="1"/>
  <c r="BQ21" i="42"/>
  <c r="BR21" i="42" s="1"/>
  <c r="BL29" i="42"/>
  <c r="BM29" i="42" s="1"/>
  <c r="BL27" i="42"/>
  <c r="BM27" i="42" s="1"/>
  <c r="BL33" i="42"/>
  <c r="BM33" i="42" s="1"/>
  <c r="AQ32" i="42" s="1"/>
  <c r="BL25" i="42"/>
  <c r="BM25" i="42" s="1"/>
  <c r="BL21" i="42"/>
  <c r="BM21" i="42" s="1"/>
  <c r="BL35" i="42"/>
  <c r="BM35" i="42" s="1"/>
  <c r="BL31" i="42"/>
  <c r="BM31" i="42" s="1"/>
  <c r="AN31" i="42" s="1"/>
  <c r="BL19" i="42"/>
  <c r="BM19" i="42" s="1"/>
  <c r="BL23" i="42"/>
  <c r="BM23" i="42" s="1"/>
  <c r="AN23" i="42" s="1"/>
  <c r="AX40" i="42"/>
  <c r="AY32" i="42"/>
  <c r="AK40" i="42"/>
  <c r="AQ42" i="42"/>
  <c r="BD42" i="42" s="1"/>
  <c r="AS17" i="42"/>
  <c r="BD43" i="42"/>
  <c r="BD41" i="42"/>
  <c r="BD44" i="42"/>
  <c r="AS17" i="46"/>
  <c r="AS16" i="46"/>
  <c r="BD45" i="42"/>
  <c r="N46" i="41"/>
  <c r="L46" i="41"/>
  <c r="J46" i="41"/>
  <c r="H46" i="41"/>
  <c r="AS19" i="46" l="1"/>
  <c r="AS23" i="46"/>
  <c r="AN17" i="42"/>
  <c r="BM25" i="46"/>
  <c r="AQ24" i="46" s="1"/>
  <c r="BN17" i="42"/>
  <c r="AN16" i="42" s="1"/>
  <c r="AS27" i="46"/>
  <c r="AS24" i="46"/>
  <c r="AS20" i="46"/>
  <c r="AS27" i="42"/>
  <c r="AS29" i="42"/>
  <c r="AS28" i="42"/>
  <c r="AS28" i="46"/>
  <c r="AS30" i="42"/>
  <c r="AS30" i="46"/>
  <c r="AQ30" i="46"/>
  <c r="AN31" i="46"/>
  <c r="AQ20" i="46"/>
  <c r="AN21" i="46"/>
  <c r="AQ22" i="46"/>
  <c r="AN23" i="46"/>
  <c r="AN17" i="46"/>
  <c r="AQ16" i="46"/>
  <c r="AQ28" i="46"/>
  <c r="AN29" i="46"/>
  <c r="BN23" i="46"/>
  <c r="AN22" i="46" s="1"/>
  <c r="BN31" i="46"/>
  <c r="AN30" i="46" s="1"/>
  <c r="BN19" i="46"/>
  <c r="AN18" i="46" s="1"/>
  <c r="AQ18" i="46"/>
  <c r="BN17" i="46"/>
  <c r="AN16" i="46" s="1"/>
  <c r="BN29" i="46"/>
  <c r="AN28" i="46" s="1"/>
  <c r="BN27" i="46"/>
  <c r="AN26" i="46" s="1"/>
  <c r="AQ26" i="46"/>
  <c r="BN21" i="46"/>
  <c r="AN20" i="46" s="1"/>
  <c r="AN27" i="46"/>
  <c r="BN23" i="42"/>
  <c r="AN22" i="42" s="1"/>
  <c r="BN33" i="42"/>
  <c r="AN32" i="42" s="1"/>
  <c r="BN31" i="42"/>
  <c r="AN30" i="42" s="1"/>
  <c r="BN25" i="42"/>
  <c r="AN24" i="42" s="1"/>
  <c r="BN35" i="42"/>
  <c r="AN34" i="42" s="1"/>
  <c r="BN29" i="42"/>
  <c r="AN28" i="42" s="1"/>
  <c r="BN27" i="42"/>
  <c r="AN26" i="42" s="1"/>
  <c r="BN21" i="42"/>
  <c r="AN20" i="42" s="1"/>
  <c r="BN19" i="42"/>
  <c r="AN18" i="42" s="1"/>
  <c r="AS35" i="42"/>
  <c r="AS34" i="42"/>
  <c r="AS33" i="42"/>
  <c r="AS32" i="42"/>
  <c r="AS21" i="42"/>
  <c r="AS20" i="42"/>
  <c r="AS24" i="42"/>
  <c r="AS25" i="42"/>
  <c r="AS22" i="42"/>
  <c r="AS23" i="42"/>
  <c r="AQ22" i="42"/>
  <c r="AQ34" i="42"/>
  <c r="AN35" i="42"/>
  <c r="AN21" i="42"/>
  <c r="AQ20" i="42"/>
  <c r="AN25" i="42"/>
  <c r="AQ24" i="42"/>
  <c r="AN27" i="42"/>
  <c r="AQ26" i="42"/>
  <c r="AQ18" i="42"/>
  <c r="AN19" i="42"/>
  <c r="AN29" i="42"/>
  <c r="AQ28" i="42"/>
  <c r="AN33" i="42"/>
  <c r="AQ30" i="42"/>
  <c r="AQ40" i="42"/>
  <c r="BD40" i="42" s="1"/>
  <c r="AS18" i="42"/>
  <c r="AS32" i="46"/>
  <c r="AS33" i="46"/>
  <c r="AX12" i="20"/>
  <c r="AX13" i="20"/>
  <c r="AN25" i="46" l="1"/>
  <c r="AN32" i="46"/>
  <c r="BN25" i="46"/>
  <c r="AN24" i="46" s="1"/>
  <c r="AS37" i="42"/>
  <c r="AS36" i="42"/>
  <c r="AN33" i="46"/>
  <c r="AN36" i="42"/>
  <c r="AN37" i="42"/>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L38" i="41"/>
  <c r="AL39" i="41"/>
  <c r="AL40" i="41"/>
  <c r="AL41" i="41"/>
  <c r="AL42" i="41"/>
  <c r="AL43" i="41"/>
  <c r="AL44" i="41"/>
  <c r="AL45" i="41"/>
  <c r="AL46" i="41"/>
  <c r="AL47" i="41"/>
  <c r="AL14" i="41"/>
  <c r="AM14" i="41" s="1"/>
  <c r="AN47" i="41" l="1"/>
  <c r="AN46" i="41"/>
  <c r="AN45" i="41"/>
  <c r="AN44" i="41"/>
  <c r="AN43" i="41"/>
  <c r="AN42" i="41"/>
  <c r="AN41" i="41"/>
  <c r="AN40" i="41"/>
  <c r="AN39" i="41"/>
  <c r="AN38" i="41"/>
  <c r="AN37" i="41"/>
  <c r="AN36" i="41"/>
  <c r="AN35" i="41"/>
  <c r="AN34" i="41"/>
  <c r="AN33" i="41"/>
  <c r="AN32" i="41"/>
  <c r="AN31" i="41"/>
  <c r="AN30" i="41"/>
  <c r="AN29" i="41"/>
  <c r="AN28" i="41"/>
  <c r="AN27" i="41"/>
  <c r="AN26" i="41"/>
  <c r="AN25" i="41"/>
  <c r="AN24" i="41"/>
  <c r="AN23" i="41"/>
  <c r="AN22" i="41"/>
  <c r="AN21" i="41"/>
  <c r="AN20" i="41"/>
  <c r="AN19" i="41"/>
  <c r="AN18" i="41"/>
  <c r="AN17" i="41"/>
  <c r="AN16" i="41"/>
  <c r="AN15" i="41"/>
  <c r="AN14" i="41"/>
  <c r="AM47" i="41"/>
  <c r="AM46" i="41"/>
  <c r="AM45" i="41"/>
  <c r="AM44" i="41"/>
  <c r="AM43" i="41"/>
  <c r="AM42" i="41"/>
  <c r="AM41" i="41"/>
  <c r="AM40" i="41"/>
  <c r="AM39" i="41"/>
  <c r="AM38" i="41"/>
  <c r="AM37" i="41"/>
  <c r="AM36" i="41"/>
  <c r="AM35" i="41"/>
  <c r="AM34" i="41"/>
  <c r="AM33" i="41"/>
  <c r="AM32" i="41"/>
  <c r="AM31" i="41"/>
  <c r="AM30" i="41"/>
  <c r="AM29" i="41"/>
  <c r="AM28" i="41"/>
  <c r="AM27" i="41"/>
  <c r="AM26" i="41"/>
  <c r="AM25" i="41"/>
  <c r="AM24" i="41"/>
  <c r="AM23" i="41"/>
  <c r="AM22" i="41"/>
  <c r="AM21" i="41"/>
  <c r="AM20" i="41"/>
  <c r="AM19" i="41"/>
  <c r="AM18" i="41"/>
  <c r="AM17" i="41"/>
  <c r="AM16" i="41"/>
  <c r="AM15" i="41"/>
  <c r="AP10" i="41" l="1"/>
  <c r="AN11" i="41"/>
  <c r="AM11" i="41"/>
  <c r="AN48" i="41"/>
  <c r="AM48" i="41"/>
  <c r="AM10" i="41"/>
  <c r="AO10" i="41"/>
  <c r="AN10" i="41"/>
  <c r="AP11" i="41"/>
  <c r="AO11" i="41"/>
  <c r="B1" i="41"/>
  <c r="C3" i="40" l="1"/>
  <c r="C3" i="39"/>
  <c r="C3" i="38"/>
  <c r="C30" i="38" s="1"/>
  <c r="C31" i="38" s="1"/>
  <c r="C32" i="38" s="1"/>
  <c r="E30" i="38" s="1"/>
  <c r="C30" i="40" l="1"/>
  <c r="C31" i="40" s="1"/>
  <c r="C32" i="40" s="1"/>
  <c r="E30" i="40" s="1"/>
  <c r="C4" i="40"/>
  <c r="C6" i="40" s="1"/>
  <c r="C4" i="39"/>
  <c r="C6" i="39" s="1"/>
  <c r="C30" i="39"/>
  <c r="C31" i="39" s="1"/>
  <c r="C32" i="39" s="1"/>
  <c r="E30" i="39" s="1"/>
  <c r="C4" i="38"/>
  <c r="C6" i="38" s="1"/>
  <c r="E31" i="38"/>
  <c r="B30" i="36"/>
  <c r="B29" i="36"/>
  <c r="B28" i="36"/>
  <c r="B27" i="36"/>
  <c r="B26" i="36"/>
  <c r="C7" i="40" l="1"/>
  <c r="C9" i="40" s="1"/>
  <c r="C5" i="40"/>
  <c r="E3" i="40" s="1"/>
  <c r="E31" i="40"/>
  <c r="F30" i="40" s="1"/>
  <c r="C7" i="39"/>
  <c r="C9" i="39" s="1"/>
  <c r="E31" i="39"/>
  <c r="F30" i="39" s="1"/>
  <c r="C5" i="39"/>
  <c r="E3" i="39" s="1"/>
  <c r="C7" i="38"/>
  <c r="C9" i="38" s="1"/>
  <c r="C5" i="38"/>
  <c r="E3" i="38" s="1"/>
  <c r="E32" i="38"/>
  <c r="F31" i="38" s="1"/>
  <c r="H32" i="38" s="1"/>
  <c r="F30" i="38"/>
  <c r="B25" i="36"/>
  <c r="B23" i="36"/>
  <c r="B24" i="36"/>
  <c r="B22" i="36"/>
  <c r="B21" i="36"/>
  <c r="B20" i="36"/>
  <c r="B19" i="36"/>
  <c r="B18" i="36"/>
  <c r="B13" i="36"/>
  <c r="B12" i="36"/>
  <c r="B11" i="36"/>
  <c r="B10" i="36"/>
  <c r="B9" i="36"/>
  <c r="B8" i="36"/>
  <c r="B7" i="36"/>
  <c r="B6" i="36"/>
  <c r="B5" i="36"/>
  <c r="B4" i="36"/>
  <c r="B3" i="36"/>
  <c r="B2" i="36"/>
  <c r="C8" i="40" l="1"/>
  <c r="E6" i="40" s="1"/>
  <c r="E7" i="40" s="1"/>
  <c r="E32" i="40"/>
  <c r="F31" i="40" s="1"/>
  <c r="H32" i="40" s="1"/>
  <c r="E4" i="40"/>
  <c r="F3" i="40" s="1"/>
  <c r="C10" i="40"/>
  <c r="C12" i="40" s="1"/>
  <c r="C10" i="39"/>
  <c r="C12" i="39" s="1"/>
  <c r="C8" i="39"/>
  <c r="E6" i="39" s="1"/>
  <c r="E4" i="39"/>
  <c r="F3" i="39" s="1"/>
  <c r="E32" i="39"/>
  <c r="F31" i="39" s="1"/>
  <c r="H32" i="39" s="1"/>
  <c r="E4" i="38"/>
  <c r="F3" i="38" s="1"/>
  <c r="C10" i="38"/>
  <c r="C12" i="38" s="1"/>
  <c r="C8" i="38"/>
  <c r="E6" i="38" s="1"/>
  <c r="H30" i="39"/>
  <c r="H31" i="39" s="1"/>
  <c r="H30" i="38"/>
  <c r="H31" i="38" s="1"/>
  <c r="C11" i="40" l="1"/>
  <c r="E9" i="40" s="1"/>
  <c r="E10" i="40" s="1"/>
  <c r="F9" i="40" s="1"/>
  <c r="F6" i="40"/>
  <c r="C11" i="38"/>
  <c r="E9" i="38" s="1"/>
  <c r="E10" i="38" s="1"/>
  <c r="F9" i="38" s="1"/>
  <c r="E8" i="40"/>
  <c r="F7" i="40" s="1"/>
  <c r="H8" i="40" s="1"/>
  <c r="C13" i="40"/>
  <c r="C15" i="40" s="1"/>
  <c r="E5" i="40"/>
  <c r="F4" i="40" s="1"/>
  <c r="H5" i="40" s="1"/>
  <c r="E7" i="39"/>
  <c r="C13" i="39"/>
  <c r="C15" i="39" s="1"/>
  <c r="C11" i="39"/>
  <c r="E9" i="39" s="1"/>
  <c r="E5" i="39"/>
  <c r="F4" i="39" s="1"/>
  <c r="H5" i="39" s="1"/>
  <c r="E7" i="38"/>
  <c r="F6" i="38" s="1"/>
  <c r="C13" i="38"/>
  <c r="C15" i="38" s="1"/>
  <c r="E5" i="38"/>
  <c r="F4" i="38" s="1"/>
  <c r="H5" i="38" s="1"/>
  <c r="H6" i="40"/>
  <c r="H7" i="40" s="1"/>
  <c r="H3" i="40"/>
  <c r="H4" i="40" s="1"/>
  <c r="H30" i="40"/>
  <c r="H31" i="40" s="1"/>
  <c r="H3" i="38"/>
  <c r="H4" i="38" s="1"/>
  <c r="C16" i="40" l="1"/>
  <c r="C18" i="40" s="1"/>
  <c r="E11" i="40"/>
  <c r="F10" i="40" s="1"/>
  <c r="C14" i="40"/>
  <c r="E12" i="40" s="1"/>
  <c r="C16" i="39"/>
  <c r="C18" i="39" s="1"/>
  <c r="E10" i="39"/>
  <c r="C14" i="39"/>
  <c r="E12" i="39" s="1"/>
  <c r="E8" i="39"/>
  <c r="F7" i="39" s="1"/>
  <c r="H8" i="39" s="1"/>
  <c r="F6" i="39"/>
  <c r="C16" i="38"/>
  <c r="C18" i="38" s="1"/>
  <c r="E11" i="38"/>
  <c r="F10" i="38" s="1"/>
  <c r="C14" i="38"/>
  <c r="E12" i="38" s="1"/>
  <c r="E8" i="38"/>
  <c r="F7" i="38" s="1"/>
  <c r="H3" i="39"/>
  <c r="H4" i="39" s="1"/>
  <c r="E13" i="40" l="1"/>
  <c r="F12" i="40" s="1"/>
  <c r="C19" i="40"/>
  <c r="C21" i="40" s="1"/>
  <c r="C17" i="40"/>
  <c r="E15" i="40" s="1"/>
  <c r="C19" i="39"/>
  <c r="C21" i="39" s="1"/>
  <c r="E13" i="39"/>
  <c r="F12" i="39" s="1"/>
  <c r="E11" i="39"/>
  <c r="F10" i="39" s="1"/>
  <c r="F9" i="39"/>
  <c r="C17" i="39"/>
  <c r="E15" i="39" s="1"/>
  <c r="E13" i="38"/>
  <c r="C19" i="38"/>
  <c r="C21" i="38" s="1"/>
  <c r="C17" i="38"/>
  <c r="E15" i="38" s="1"/>
  <c r="H11" i="40"/>
  <c r="H6" i="39"/>
  <c r="H7" i="39" s="1"/>
  <c r="H9" i="38"/>
  <c r="H10" i="38" s="1"/>
  <c r="H11" i="38"/>
  <c r="H8" i="38"/>
  <c r="E16" i="40" l="1"/>
  <c r="F15" i="40" s="1"/>
  <c r="C22" i="40"/>
  <c r="C24" i="40" s="1"/>
  <c r="C20" i="40"/>
  <c r="E18" i="40" s="1"/>
  <c r="E14" i="40"/>
  <c r="F13" i="40" s="1"/>
  <c r="E16" i="39"/>
  <c r="F15" i="39" s="1"/>
  <c r="E14" i="39"/>
  <c r="F13" i="39" s="1"/>
  <c r="C22" i="39"/>
  <c r="C24" i="39" s="1"/>
  <c r="C20" i="39"/>
  <c r="E18" i="39" s="1"/>
  <c r="C22" i="38"/>
  <c r="C24" i="38" s="1"/>
  <c r="E16" i="38"/>
  <c r="F15" i="38" s="1"/>
  <c r="H15" i="38" s="1"/>
  <c r="H16" i="38" s="1"/>
  <c r="C20" i="38"/>
  <c r="E18" i="38" s="1"/>
  <c r="E14" i="38"/>
  <c r="F13" i="38" s="1"/>
  <c r="H14" i="38" s="1"/>
  <c r="F12" i="38"/>
  <c r="H12" i="38" s="1"/>
  <c r="H13" i="38" s="1"/>
  <c r="H9" i="40"/>
  <c r="H10" i="40" s="1"/>
  <c r="H6" i="38"/>
  <c r="H7" i="38" s="1"/>
  <c r="C23" i="40" l="1"/>
  <c r="E21" i="40" s="1"/>
  <c r="E19" i="40"/>
  <c r="C25" i="40"/>
  <c r="C27" i="40" s="1"/>
  <c r="E17" i="40"/>
  <c r="F16" i="40" s="1"/>
  <c r="E19" i="39"/>
  <c r="C25" i="39"/>
  <c r="C27" i="39" s="1"/>
  <c r="C23" i="39"/>
  <c r="E21" i="39" s="1"/>
  <c r="E17" i="39"/>
  <c r="F16" i="39" s="1"/>
  <c r="E19" i="38"/>
  <c r="F18" i="38" s="1"/>
  <c r="E17" i="38"/>
  <c r="F16" i="38" s="1"/>
  <c r="H17" i="38" s="1"/>
  <c r="C25" i="38"/>
  <c r="C27" i="38" s="1"/>
  <c r="C23" i="38"/>
  <c r="E21" i="38" s="1"/>
  <c r="H11" i="39"/>
  <c r="C26" i="38" l="1"/>
  <c r="E24" i="38" s="1"/>
  <c r="E25" i="38" s="1"/>
  <c r="F24" i="38" s="1"/>
  <c r="E20" i="40"/>
  <c r="F19" i="40" s="1"/>
  <c r="C28" i="40"/>
  <c r="C29" i="40" s="1"/>
  <c r="E27" i="40" s="1"/>
  <c r="C26" i="40"/>
  <c r="E24" i="40" s="1"/>
  <c r="F18" i="40"/>
  <c r="E22" i="40"/>
  <c r="F21" i="40" s="1"/>
  <c r="E22" i="39"/>
  <c r="E20" i="39"/>
  <c r="F19" i="39" s="1"/>
  <c r="C28" i="39"/>
  <c r="C29" i="39" s="1"/>
  <c r="E27" i="39" s="1"/>
  <c r="C26" i="39"/>
  <c r="E24" i="39" s="1"/>
  <c r="F18" i="39"/>
  <c r="E22" i="38"/>
  <c r="F21" i="38" s="1"/>
  <c r="C28" i="38"/>
  <c r="C29" i="38" s="1"/>
  <c r="E27" i="38" s="1"/>
  <c r="E20" i="38"/>
  <c r="F19" i="38" s="1"/>
  <c r="H12" i="40"/>
  <c r="H13" i="40" s="1"/>
  <c r="H14" i="40"/>
  <c r="H9" i="39"/>
  <c r="H10" i="39" s="1"/>
  <c r="E28" i="40" l="1"/>
  <c r="F27" i="40" s="1"/>
  <c r="E23" i="40"/>
  <c r="F22" i="40" s="1"/>
  <c r="E25" i="40"/>
  <c r="F24" i="40" s="1"/>
  <c r="E28" i="39"/>
  <c r="F27" i="39" s="1"/>
  <c r="E25" i="39"/>
  <c r="E23" i="39"/>
  <c r="F22" i="39" s="1"/>
  <c r="F21" i="39"/>
  <c r="E28" i="38"/>
  <c r="E26" i="38"/>
  <c r="F25" i="38" s="1"/>
  <c r="E23" i="38"/>
  <c r="F22" i="38" s="1"/>
  <c r="H14" i="39"/>
  <c r="H20" i="38"/>
  <c r="E26" i="40" l="1"/>
  <c r="F25" i="40" s="1"/>
  <c r="E29" i="40"/>
  <c r="F28" i="40" s="1"/>
  <c r="E26" i="39"/>
  <c r="F25" i="39" s="1"/>
  <c r="F24" i="39"/>
  <c r="E29" i="39"/>
  <c r="F28" i="39" s="1"/>
  <c r="E29" i="38"/>
  <c r="F28" i="38" s="1"/>
  <c r="F27" i="38"/>
  <c r="H15" i="40"/>
  <c r="H16" i="40" s="1"/>
  <c r="H17" i="40"/>
  <c r="H15" i="39"/>
  <c r="H16" i="39" s="1"/>
  <c r="H17" i="39"/>
  <c r="H12" i="39"/>
  <c r="H13" i="39" s="1"/>
  <c r="H18" i="38"/>
  <c r="H19" i="38" s="1"/>
  <c r="H23" i="38"/>
  <c r="H20" i="40" l="1"/>
  <c r="C1" i="38"/>
  <c r="H21" i="38"/>
  <c r="H22" i="38" s="1"/>
  <c r="H18" i="40" l="1"/>
  <c r="H19" i="40" s="1"/>
  <c r="H24" i="38"/>
  <c r="H25" i="38" s="1"/>
  <c r="H26" i="38"/>
  <c r="C1" i="40" l="1"/>
  <c r="H24" i="40"/>
  <c r="H25" i="40" s="1"/>
  <c r="H21" i="40"/>
  <c r="H22" i="40" s="1"/>
  <c r="H26" i="40"/>
  <c r="H23" i="40"/>
  <c r="H20" i="39"/>
  <c r="H27" i="38"/>
  <c r="H28" i="38" s="1"/>
  <c r="H29" i="38"/>
  <c r="C1" i="39" l="1"/>
  <c r="H18" i="39"/>
  <c r="H19" i="39" s="1"/>
  <c r="H23" i="39"/>
  <c r="B20" i="37" l="1"/>
  <c r="B15" i="37"/>
  <c r="B11" i="37"/>
  <c r="B18" i="37"/>
  <c r="B14" i="37"/>
  <c r="B6" i="37"/>
  <c r="B21" i="37"/>
  <c r="B5" i="37"/>
  <c r="B12" i="37"/>
  <c r="B7" i="37"/>
  <c r="B3" i="37"/>
  <c r="B17" i="37"/>
  <c r="B9" i="37"/>
  <c r="B8" i="37"/>
  <c r="B4" i="37"/>
  <c r="B22" i="37"/>
  <c r="B10" i="37"/>
  <c r="C1" i="37"/>
  <c r="B13" i="37"/>
  <c r="B19" i="37"/>
  <c r="B16" i="37"/>
  <c r="H29" i="40"/>
  <c r="H26" i="39"/>
  <c r="H21" i="39"/>
  <c r="H22" i="39" s="1"/>
  <c r="C21" i="37" l="1"/>
  <c r="C44" i="41"/>
  <c r="C43" i="41"/>
  <c r="D21" i="37"/>
  <c r="C4" i="37"/>
  <c r="D4" i="37"/>
  <c r="C5" i="37"/>
  <c r="D5" i="37"/>
  <c r="C29" i="41"/>
  <c r="C14" i="37"/>
  <c r="D14" i="37"/>
  <c r="C30" i="41"/>
  <c r="C37" i="41"/>
  <c r="C18" i="37"/>
  <c r="D18" i="37"/>
  <c r="C38" i="41"/>
  <c r="C22" i="37"/>
  <c r="D22" i="37"/>
  <c r="D8" i="37"/>
  <c r="C8" i="37"/>
  <c r="C33" i="41"/>
  <c r="D16" i="37"/>
  <c r="C16" i="37"/>
  <c r="C34" i="41"/>
  <c r="D3" i="37"/>
  <c r="C3" i="37"/>
  <c r="C24" i="41"/>
  <c r="C23" i="41"/>
  <c r="C11" i="37"/>
  <c r="D11" i="37"/>
  <c r="D9" i="37"/>
  <c r="C19" i="41"/>
  <c r="C20" i="41"/>
  <c r="C9" i="37"/>
  <c r="C35" i="41"/>
  <c r="C36" i="41"/>
  <c r="D17" i="37"/>
  <c r="C17" i="37"/>
  <c r="C7" i="37"/>
  <c r="D7" i="37"/>
  <c r="C15" i="37"/>
  <c r="C31" i="41"/>
  <c r="D15" i="37"/>
  <c r="C32" i="41"/>
  <c r="D6" i="37"/>
  <c r="C6" i="37"/>
  <c r="C39" i="41"/>
  <c r="C19" i="37"/>
  <c r="C40" i="41"/>
  <c r="D19" i="37"/>
  <c r="C27" i="41"/>
  <c r="D13" i="37"/>
  <c r="C13" i="37"/>
  <c r="C28" i="41"/>
  <c r="D10" i="37"/>
  <c r="C21" i="41"/>
  <c r="C10" i="37"/>
  <c r="C22" i="41"/>
  <c r="C12" i="37"/>
  <c r="D12" i="37"/>
  <c r="C26" i="41"/>
  <c r="C25" i="41"/>
  <c r="C41" i="41"/>
  <c r="D20" i="37"/>
  <c r="C20" i="37"/>
  <c r="C42" i="41"/>
  <c r="H27" i="40"/>
  <c r="H28" i="40" s="1"/>
  <c r="H29" i="39"/>
  <c r="H24" i="39"/>
  <c r="H25" i="39" s="1"/>
  <c r="E13" i="37"/>
  <c r="E12" i="37"/>
  <c r="E15" i="37"/>
  <c r="E4" i="37"/>
  <c r="E20" i="37"/>
  <c r="E10" i="37"/>
  <c r="E8" i="37"/>
  <c r="E16" i="37"/>
  <c r="E14" i="37"/>
  <c r="E9" i="37"/>
  <c r="E6" i="37"/>
  <c r="E19" i="37"/>
  <c r="E7" i="37"/>
  <c r="E5" i="37"/>
  <c r="E11" i="37"/>
  <c r="E21" i="37"/>
  <c r="E18" i="37"/>
  <c r="E3" i="37"/>
  <c r="E17" i="37"/>
  <c r="E22" i="37"/>
  <c r="D19" i="41" l="1"/>
  <c r="D37" i="41"/>
  <c r="D39" i="41"/>
  <c r="D29" i="41"/>
  <c r="D21" i="41"/>
  <c r="D41" i="41"/>
  <c r="D25" i="41"/>
  <c r="D33" i="41"/>
  <c r="D23" i="41"/>
  <c r="D27" i="41"/>
  <c r="D35" i="41"/>
  <c r="D43" i="41"/>
  <c r="D31" i="41"/>
  <c r="H27" i="39"/>
  <c r="H28" i="39" s="1"/>
  <c r="J5" i="37" a="1"/>
  <c r="J22" i="37" a="1"/>
  <c r="H4" i="37" a="1"/>
  <c r="F4" i="37" a="1"/>
  <c r="I9" i="37" a="1"/>
  <c r="H8" i="37" a="1"/>
  <c r="F11" i="37" a="1"/>
  <c r="H12" i="37" a="1"/>
  <c r="I12" i="37" a="1"/>
  <c r="H11" i="37" a="1"/>
  <c r="J4" i="37" a="1"/>
  <c r="F12" i="37" a="1"/>
  <c r="H7" i="37" a="1"/>
  <c r="J12" i="37" a="1"/>
  <c r="J19" i="37" a="1"/>
  <c r="I11" i="37" a="1"/>
  <c r="I4" i="37" a="1"/>
  <c r="H9" i="37" a="1"/>
  <c r="F6" i="37" a="1"/>
  <c r="I19" i="37" a="1"/>
  <c r="F22" i="37" a="1"/>
  <c r="J13" i="37" a="1"/>
  <c r="H14" i="37" a="1"/>
  <c r="I6" i="37" a="1"/>
  <c r="F10" i="37" a="1"/>
  <c r="H17" i="37" a="1"/>
  <c r="H10" i="37" a="1"/>
  <c r="F16" i="37" a="1"/>
  <c r="F19" i="37" a="1"/>
  <c r="J7" i="37" a="1"/>
  <c r="F3" i="37" a="1"/>
  <c r="H13" i="37" a="1"/>
  <c r="I13" i="37" a="1"/>
  <c r="H3" i="37"/>
  <c r="J18" i="37" a="1"/>
  <c r="H6" i="37" a="1"/>
  <c r="I20" i="37" a="1"/>
  <c r="F8" i="37" a="1"/>
  <c r="F13" i="37" a="1"/>
  <c r="I18" i="37" a="1"/>
  <c r="J11" i="37" a="1"/>
  <c r="I5" i="37" a="1"/>
  <c r="H20" i="37" a="1"/>
  <c r="I16" i="37" a="1"/>
  <c r="H15" i="37" a="1"/>
  <c r="H18" i="37" a="1"/>
  <c r="J15" i="37" a="1"/>
  <c r="J14" i="37" a="1"/>
  <c r="I8" i="37" a="1"/>
  <c r="H5" i="37" a="1"/>
  <c r="I15" i="37" a="1"/>
  <c r="I10" i="37" a="1"/>
  <c r="J6" i="37" a="1"/>
  <c r="H21" i="37" a="1"/>
  <c r="H22" i="37" a="1"/>
  <c r="J3" i="37" a="1"/>
  <c r="I17" i="37" a="1"/>
  <c r="J8" i="37" a="1"/>
  <c r="F20" i="37" a="1"/>
  <c r="I21" i="37" a="1"/>
  <c r="F9" i="37" a="1"/>
  <c r="J9" i="37" a="1"/>
  <c r="H19" i="37" a="1"/>
  <c r="J20" i="37" a="1"/>
  <c r="F5" i="37" a="1"/>
  <c r="F15" i="37" a="1"/>
  <c r="F14" i="37" a="1"/>
  <c r="F17" i="37" a="1"/>
  <c r="I7" i="37" a="1"/>
  <c r="F7" i="37" a="1"/>
  <c r="I3" i="37" a="1"/>
  <c r="I22" i="37" a="1"/>
  <c r="J16" i="37" a="1"/>
  <c r="J10" i="37" a="1"/>
  <c r="F18" i="37" a="1"/>
  <c r="I14" i="37" a="1"/>
  <c r="H16" i="37" a="1"/>
  <c r="J21" i="37" a="1"/>
  <c r="J17" i="37" a="1"/>
  <c r="F21" i="37" a="1"/>
  <c r="I6" i="37" l="1"/>
  <c r="H6" i="37"/>
  <c r="F6" i="37"/>
  <c r="C14" i="41" s="1"/>
  <c r="F9" i="37"/>
  <c r="I9" i="37"/>
  <c r="I13" i="37"/>
  <c r="H18" i="37"/>
  <c r="F15" i="37"/>
  <c r="J9" i="37"/>
  <c r="F13" i="37"/>
  <c r="I18" i="37"/>
  <c r="I22" i="37"/>
  <c r="I15" i="37"/>
  <c r="I19" i="37"/>
  <c r="I5" i="37"/>
  <c r="H15" i="37"/>
  <c r="I16" i="37"/>
  <c r="J3" i="37"/>
  <c r="H20" i="37"/>
  <c r="F8" i="37"/>
  <c r="F19" i="37"/>
  <c r="H5" i="37"/>
  <c r="J22" i="37"/>
  <c r="H11" i="37"/>
  <c r="J18" i="37"/>
  <c r="J19" i="37"/>
  <c r="I3" i="37"/>
  <c r="H22" i="37"/>
  <c r="J12" i="37"/>
  <c r="F20" i="37"/>
  <c r="J8" i="37"/>
  <c r="J17" i="37"/>
  <c r="F14" i="37"/>
  <c r="H7" i="37"/>
  <c r="J15" i="37"/>
  <c r="H16" i="37"/>
  <c r="I21" i="37"/>
  <c r="J11" i="37"/>
  <c r="F5" i="37"/>
  <c r="I20" i="37"/>
  <c r="I12" i="37"/>
  <c r="I7" i="37"/>
  <c r="H17" i="37"/>
  <c r="I4" i="37"/>
  <c r="H19" i="37"/>
  <c r="H10" i="37"/>
  <c r="I8" i="37"/>
  <c r="H13" i="37"/>
  <c r="F3" i="37"/>
  <c r="C9" i="41" s="1"/>
  <c r="J14" i="37"/>
  <c r="F7" i="37"/>
  <c r="F18" i="37"/>
  <c r="J10" i="37"/>
  <c r="F17" i="37"/>
  <c r="H12" i="37"/>
  <c r="F11" i="37"/>
  <c r="F4" i="37"/>
  <c r="J6" i="37"/>
  <c r="F22" i="37"/>
  <c r="G22" i="37" s="1"/>
  <c r="J16" i="37"/>
  <c r="H21" i="37"/>
  <c r="I10" i="37"/>
  <c r="J4" i="37"/>
  <c r="F16" i="37"/>
  <c r="J20" i="37"/>
  <c r="H8" i="37"/>
  <c r="I11" i="37"/>
  <c r="I14" i="37"/>
  <c r="I17" i="37"/>
  <c r="H9" i="37"/>
  <c r="F21" i="37"/>
  <c r="F12" i="37"/>
  <c r="J7" i="37"/>
  <c r="J5" i="37"/>
  <c r="F10" i="37"/>
  <c r="H4" i="37"/>
  <c r="H14" i="37"/>
  <c r="J13" i="37"/>
  <c r="J21" i="37"/>
  <c r="G15" i="37" l="1"/>
  <c r="G8" i="37"/>
  <c r="C15" i="41"/>
  <c r="G5" i="37"/>
  <c r="G9" i="37"/>
  <c r="G13" i="37"/>
  <c r="G18" i="37"/>
  <c r="G19" i="37"/>
  <c r="C18" i="41"/>
  <c r="G7" i="37"/>
  <c r="C13" i="41"/>
  <c r="G14" i="37"/>
  <c r="C12" i="41"/>
  <c r="C16" i="41"/>
  <c r="C17" i="41"/>
  <c r="G3" i="37"/>
  <c r="G16" i="37"/>
  <c r="G17" i="37"/>
  <c r="G6" i="37"/>
  <c r="C10" i="41"/>
  <c r="C11" i="41"/>
  <c r="G4" i="37"/>
  <c r="G11" i="37"/>
  <c r="G21" i="37"/>
  <c r="G12" i="37"/>
  <c r="G20" i="37"/>
  <c r="G10" i="37"/>
  <c r="D9" i="41" l="1"/>
  <c r="D13" i="41"/>
  <c r="D17" i="41"/>
  <c r="D11" i="41"/>
  <c r="D15" i="41"/>
  <c r="B1" i="21" l="1"/>
  <c r="C3" i="28" l="1"/>
  <c r="C4" i="28" s="1"/>
  <c r="C6" i="28" s="1"/>
  <c r="C3" i="27"/>
  <c r="C3" i="26"/>
  <c r="C30" i="26" s="1"/>
  <c r="C31" i="26" s="1"/>
  <c r="C32" i="26" s="1"/>
  <c r="C4" i="26" l="1"/>
  <c r="C6" i="26" s="1"/>
  <c r="C7" i="26" s="1"/>
  <c r="C9" i="26" s="1"/>
  <c r="E30" i="26"/>
  <c r="E31" i="26" s="1"/>
  <c r="C7" i="28"/>
  <c r="C9" i="28" s="1"/>
  <c r="C30" i="28"/>
  <c r="C31" i="28" s="1"/>
  <c r="C32" i="28" s="1"/>
  <c r="E30" i="28" s="1"/>
  <c r="C5" i="28"/>
  <c r="E3" i="28" s="1"/>
  <c r="C30" i="27"/>
  <c r="C31" i="27" s="1"/>
  <c r="C32" i="27" s="1"/>
  <c r="E30" i="27" s="1"/>
  <c r="C4" i="27"/>
  <c r="C6" i="27" s="1"/>
  <c r="F30" i="26" l="1"/>
  <c r="H30" i="26" s="1"/>
  <c r="H31" i="26" s="1"/>
  <c r="E32" i="26"/>
  <c r="F31" i="26" s="1"/>
  <c r="H32" i="26" s="1"/>
  <c r="C5" i="26"/>
  <c r="C8" i="26"/>
  <c r="E6" i="26" s="1"/>
  <c r="E7" i="26" s="1"/>
  <c r="E4" i="28"/>
  <c r="F3" i="28" s="1"/>
  <c r="E31" i="28"/>
  <c r="C10" i="28"/>
  <c r="C12" i="28" s="1"/>
  <c r="C8" i="28"/>
  <c r="E6" i="28" s="1"/>
  <c r="C7" i="27"/>
  <c r="C9" i="27" s="1"/>
  <c r="E31" i="27"/>
  <c r="C5" i="27"/>
  <c r="E3" i="27" s="1"/>
  <c r="C10" i="26"/>
  <c r="C12" i="26" s="1"/>
  <c r="E3" i="26" l="1"/>
  <c r="E4" i="26" s="1"/>
  <c r="F3" i="26" s="1"/>
  <c r="H3" i="26" s="1"/>
  <c r="H4" i="26" s="1"/>
  <c r="F30" i="28"/>
  <c r="E32" i="28"/>
  <c r="F31" i="28" s="1"/>
  <c r="H32" i="28" s="1"/>
  <c r="C13" i="28"/>
  <c r="C15" i="28" s="1"/>
  <c r="E7" i="28"/>
  <c r="F6" i="28" s="1"/>
  <c r="C11" i="28"/>
  <c r="E9" i="28" s="1"/>
  <c r="E5" i="28"/>
  <c r="F4" i="28" s="1"/>
  <c r="H5" i="28" s="1"/>
  <c r="E32" i="27"/>
  <c r="F31" i="27" s="1"/>
  <c r="H32" i="27" s="1"/>
  <c r="E4" i="27"/>
  <c r="F30" i="27"/>
  <c r="C10" i="27"/>
  <c r="C12" i="27" s="1"/>
  <c r="C8" i="27"/>
  <c r="E6" i="27" s="1"/>
  <c r="E8" i="26"/>
  <c r="F7" i="26" s="1"/>
  <c r="H8" i="26" s="1"/>
  <c r="C11" i="26"/>
  <c r="E9" i="26" s="1"/>
  <c r="F6" i="26"/>
  <c r="H6" i="26" s="1"/>
  <c r="H7" i="26" s="1"/>
  <c r="C13" i="26"/>
  <c r="C15" i="26" s="1"/>
  <c r="H3" i="28"/>
  <c r="H4" i="28" s="1"/>
  <c r="E5" i="26" l="1"/>
  <c r="F4" i="26" s="1"/>
  <c r="H5" i="26" s="1"/>
  <c r="C16" i="28"/>
  <c r="C18" i="28" s="1"/>
  <c r="E10" i="28"/>
  <c r="E8" i="28"/>
  <c r="F7" i="28" s="1"/>
  <c r="C14" i="28"/>
  <c r="E12" i="28" s="1"/>
  <c r="E7" i="27"/>
  <c r="F6" i="27" s="1"/>
  <c r="C11" i="27"/>
  <c r="E9" i="27" s="1"/>
  <c r="C13" i="27"/>
  <c r="C15" i="27" s="1"/>
  <c r="E5" i="27"/>
  <c r="F4" i="27" s="1"/>
  <c r="H5" i="27" s="1"/>
  <c r="F3" i="27"/>
  <c r="H3" i="27" s="1"/>
  <c r="H4" i="27" s="1"/>
  <c r="C16" i="26"/>
  <c r="C18" i="26" s="1"/>
  <c r="E10" i="26"/>
  <c r="F9" i="26" s="1"/>
  <c r="C14" i="26"/>
  <c r="H30" i="28"/>
  <c r="H31" i="28" s="1"/>
  <c r="H30" i="27"/>
  <c r="H31" i="27" s="1"/>
  <c r="E12" i="26" l="1"/>
  <c r="E13" i="26" s="1"/>
  <c r="F12" i="26" s="1"/>
  <c r="C17" i="26"/>
  <c r="E15" i="26" s="1"/>
  <c r="E16" i="26" s="1"/>
  <c r="F15" i="26" s="1"/>
  <c r="H15" i="26" s="1"/>
  <c r="F9" i="28"/>
  <c r="H9" i="28" s="1"/>
  <c r="H10" i="28" s="1"/>
  <c r="E11" i="28"/>
  <c r="F10" i="28" s="1"/>
  <c r="H11" i="28" s="1"/>
  <c r="E13" i="28"/>
  <c r="F12" i="28" s="1"/>
  <c r="C19" i="28"/>
  <c r="C21" i="28" s="1"/>
  <c r="C17" i="28"/>
  <c r="E15" i="28" s="1"/>
  <c r="E10" i="27"/>
  <c r="F9" i="27" s="1"/>
  <c r="C14" i="27"/>
  <c r="E12" i="27" s="1"/>
  <c r="C16" i="27"/>
  <c r="C18" i="27" s="1"/>
  <c r="E8" i="27"/>
  <c r="F7" i="27" s="1"/>
  <c r="H8" i="27" s="1"/>
  <c r="E11" i="26"/>
  <c r="F10" i="26" s="1"/>
  <c r="C19" i="26"/>
  <c r="C21" i="26" s="1"/>
  <c r="H8" i="28"/>
  <c r="H6" i="27"/>
  <c r="H7" i="27" s="1"/>
  <c r="E16" i="28" l="1"/>
  <c r="F15" i="28" s="1"/>
  <c r="C20" i="28"/>
  <c r="E18" i="28" s="1"/>
  <c r="C22" i="28"/>
  <c r="C24" i="28" s="1"/>
  <c r="E14" i="28"/>
  <c r="F13" i="28" s="1"/>
  <c r="H14" i="28" s="1"/>
  <c r="C19" i="27"/>
  <c r="C21" i="27" s="1"/>
  <c r="C17" i="27"/>
  <c r="E15" i="27" s="1"/>
  <c r="E13" i="27"/>
  <c r="F12" i="27" s="1"/>
  <c r="E11" i="27"/>
  <c r="F10" i="27" s="1"/>
  <c r="C22" i="26"/>
  <c r="C24" i="26" s="1"/>
  <c r="C20" i="26"/>
  <c r="E18" i="26" s="1"/>
  <c r="E14" i="26"/>
  <c r="F13" i="26" s="1"/>
  <c r="E17" i="26"/>
  <c r="F16" i="26" s="1"/>
  <c r="H12" i="28"/>
  <c r="H13" i="28" s="1"/>
  <c r="H6" i="28"/>
  <c r="H7" i="28" s="1"/>
  <c r="C20" i="27" l="1"/>
  <c r="E18" i="27" s="1"/>
  <c r="E19" i="27" s="1"/>
  <c r="F18" i="27" s="1"/>
  <c r="C25" i="28"/>
  <c r="C27" i="28" s="1"/>
  <c r="C23" i="28"/>
  <c r="E21" i="28" s="1"/>
  <c r="E19" i="28"/>
  <c r="F18" i="28" s="1"/>
  <c r="E17" i="28"/>
  <c r="F16" i="28" s="1"/>
  <c r="H17" i="28" s="1"/>
  <c r="E14" i="27"/>
  <c r="F13" i="27" s="1"/>
  <c r="E16" i="27"/>
  <c r="F15" i="27" s="1"/>
  <c r="C22" i="27"/>
  <c r="C24" i="27" s="1"/>
  <c r="E19" i="26"/>
  <c r="F18" i="26" s="1"/>
  <c r="C25" i="26"/>
  <c r="C27" i="26" s="1"/>
  <c r="C23" i="26"/>
  <c r="E21" i="26" s="1"/>
  <c r="H15" i="28"/>
  <c r="H16" i="28" s="1"/>
  <c r="H14" i="26"/>
  <c r="H11" i="26"/>
  <c r="C23" i="27" l="1"/>
  <c r="E21" i="27" s="1"/>
  <c r="E22" i="27" s="1"/>
  <c r="F21" i="27" s="1"/>
  <c r="E20" i="28"/>
  <c r="F19" i="28" s="1"/>
  <c r="H20" i="28" s="1"/>
  <c r="E22" i="28"/>
  <c r="F21" i="28" s="1"/>
  <c r="C28" i="28"/>
  <c r="C29" i="28" s="1"/>
  <c r="E27" i="28" s="1"/>
  <c r="C26" i="28"/>
  <c r="E24" i="28" s="1"/>
  <c r="C25" i="27"/>
  <c r="C27" i="27" s="1"/>
  <c r="E17" i="27"/>
  <c r="F16" i="27" s="1"/>
  <c r="H17" i="27" s="1"/>
  <c r="E20" i="27"/>
  <c r="F19" i="27" s="1"/>
  <c r="E22" i="26"/>
  <c r="F21" i="26" s="1"/>
  <c r="C28" i="26"/>
  <c r="C26" i="26"/>
  <c r="E24" i="26" s="1"/>
  <c r="E20" i="26"/>
  <c r="F19" i="26" s="1"/>
  <c r="H20" i="26" s="1"/>
  <c r="H18" i="28"/>
  <c r="H19" i="28" s="1"/>
  <c r="H15" i="27"/>
  <c r="H16" i="27" s="1"/>
  <c r="H14" i="27"/>
  <c r="H9" i="27"/>
  <c r="H10" i="27" s="1"/>
  <c r="H11" i="27"/>
  <c r="H12" i="26"/>
  <c r="H13" i="26" s="1"/>
  <c r="H9" i="26"/>
  <c r="H10" i="26" s="1"/>
  <c r="C29" i="26" l="1"/>
  <c r="C26" i="27"/>
  <c r="E24" i="27" s="1"/>
  <c r="E25" i="27" s="1"/>
  <c r="F24" i="27" s="1"/>
  <c r="E28" i="28"/>
  <c r="F27" i="28" s="1"/>
  <c r="E25" i="28"/>
  <c r="F24" i="28" s="1"/>
  <c r="E23" i="28"/>
  <c r="F22" i="28" s="1"/>
  <c r="E23" i="27"/>
  <c r="F22" i="27" s="1"/>
  <c r="C28" i="27"/>
  <c r="C29" i="27" s="1"/>
  <c r="E25" i="26"/>
  <c r="F24" i="26" s="1"/>
  <c r="E23" i="26"/>
  <c r="F22" i="26" s="1"/>
  <c r="H23" i="26" s="1"/>
  <c r="H12" i="27"/>
  <c r="H13" i="27" s="1"/>
  <c r="H18" i="26"/>
  <c r="H19" i="26" s="1"/>
  <c r="H17" i="26"/>
  <c r="E27" i="27" l="1"/>
  <c r="E28" i="27" s="1"/>
  <c r="F27" i="27" s="1"/>
  <c r="C1" i="27"/>
  <c r="E27" i="26"/>
  <c r="E28" i="26" s="1"/>
  <c r="E29" i="26" s="1"/>
  <c r="F28" i="26" s="1"/>
  <c r="H29" i="26" s="1"/>
  <c r="C1" i="26"/>
  <c r="E26" i="28"/>
  <c r="F25" i="28" s="1"/>
  <c r="E29" i="28"/>
  <c r="F28" i="28" s="1"/>
  <c r="E26" i="27"/>
  <c r="F25" i="27" s="1"/>
  <c r="E26" i="26"/>
  <c r="F25" i="26" s="1"/>
  <c r="H23" i="27"/>
  <c r="H18" i="27"/>
  <c r="H19" i="27" s="1"/>
  <c r="H20" i="27"/>
  <c r="H16" i="26"/>
  <c r="H21" i="26"/>
  <c r="H22" i="26" s="1"/>
  <c r="F27" i="26" l="1"/>
  <c r="E29" i="27"/>
  <c r="F28" i="27" s="1"/>
  <c r="H23" i="28"/>
  <c r="H21" i="27"/>
  <c r="H22" i="27" s="1"/>
  <c r="H24" i="26"/>
  <c r="H25" i="26" s="1"/>
  <c r="H26" i="26"/>
  <c r="C1" i="28" l="1"/>
  <c r="B6" i="29" s="1"/>
  <c r="H21" i="28"/>
  <c r="H22" i="28" s="1"/>
  <c r="H24" i="27"/>
  <c r="H25" i="27" s="1"/>
  <c r="H26" i="27"/>
  <c r="H27" i="26"/>
  <c r="H28" i="26" s="1"/>
  <c r="B3" i="29" l="1"/>
  <c r="B10" i="41" s="1"/>
  <c r="B4" i="29"/>
  <c r="B5" i="29"/>
  <c r="B16" i="41"/>
  <c r="B12" i="41"/>
  <c r="B14" i="41"/>
  <c r="B12" i="29"/>
  <c r="B22" i="29"/>
  <c r="B21" i="29"/>
  <c r="C3" i="29"/>
  <c r="B14" i="21"/>
  <c r="B12" i="21"/>
  <c r="C4" i="29"/>
  <c r="B16" i="21"/>
  <c r="B10" i="21"/>
  <c r="B20" i="29"/>
  <c r="B16" i="29"/>
  <c r="B17" i="29"/>
  <c r="B18" i="29"/>
  <c r="B19" i="29"/>
  <c r="B13" i="29"/>
  <c r="B14" i="29"/>
  <c r="B15" i="29"/>
  <c r="C5" i="29"/>
  <c r="C6" i="29"/>
  <c r="B7" i="29"/>
  <c r="B10" i="29"/>
  <c r="B9" i="29"/>
  <c r="B8" i="29"/>
  <c r="C1" i="29"/>
  <c r="B11" i="29"/>
  <c r="H24" i="28"/>
  <c r="H25" i="28" s="1"/>
  <c r="H26" i="28"/>
  <c r="H27" i="27"/>
  <c r="H28" i="27" s="1"/>
  <c r="H29" i="27"/>
  <c r="B20" i="41" l="1"/>
  <c r="B30" i="41"/>
  <c r="C27" i="21"/>
  <c r="C28" i="21"/>
  <c r="H34" i="42" s="1"/>
  <c r="B22" i="41"/>
  <c r="C19" i="21"/>
  <c r="C20" i="21"/>
  <c r="H26" i="42" s="1"/>
  <c r="B42" i="41"/>
  <c r="C40" i="21"/>
  <c r="H26" i="46" s="1"/>
  <c r="C39" i="21"/>
  <c r="B24" i="41"/>
  <c r="C22" i="21"/>
  <c r="H28" i="42" s="1"/>
  <c r="C21" i="21"/>
  <c r="B40" i="41"/>
  <c r="C38" i="21"/>
  <c r="H24" i="46" s="1"/>
  <c r="C37" i="21"/>
  <c r="C34" i="21"/>
  <c r="H20" i="46" s="1"/>
  <c r="C33" i="21"/>
  <c r="C44" i="21"/>
  <c r="H30" i="46" s="1"/>
  <c r="C43" i="21"/>
  <c r="B44" i="41"/>
  <c r="C42" i="21"/>
  <c r="H28" i="46" s="1"/>
  <c r="C41" i="21"/>
  <c r="B18" i="41"/>
  <c r="B38" i="41"/>
  <c r="C35" i="21"/>
  <c r="C36" i="21"/>
  <c r="H22" i="46" s="1"/>
  <c r="B26" i="41"/>
  <c r="C23" i="21"/>
  <c r="C24" i="21"/>
  <c r="H30" i="42" s="1"/>
  <c r="C31" i="21"/>
  <c r="C32" i="21"/>
  <c r="H18" i="46" s="1"/>
  <c r="C26" i="21"/>
  <c r="H32" i="42" s="1"/>
  <c r="C25" i="21"/>
  <c r="C30" i="21"/>
  <c r="H16" i="46" s="1"/>
  <c r="C29" i="21"/>
  <c r="B34" i="41"/>
  <c r="B32" i="41"/>
  <c r="B36" i="41"/>
  <c r="B28" i="21"/>
  <c r="B28" i="41"/>
  <c r="D21" i="29"/>
  <c r="C21" i="29"/>
  <c r="D22" i="29"/>
  <c r="C22" i="29"/>
  <c r="D5" i="29"/>
  <c r="D17" i="29"/>
  <c r="B38" i="21"/>
  <c r="D4" i="29"/>
  <c r="B26" i="21"/>
  <c r="D11" i="29"/>
  <c r="B20" i="21"/>
  <c r="D8" i="29"/>
  <c r="B34" i="21"/>
  <c r="D15" i="29"/>
  <c r="B44" i="21"/>
  <c r="D20" i="29"/>
  <c r="D9" i="29"/>
  <c r="B22" i="21"/>
  <c r="B36" i="21"/>
  <c r="D16" i="29"/>
  <c r="D13" i="29"/>
  <c r="B30" i="21"/>
  <c r="D6" i="29"/>
  <c r="B32" i="21"/>
  <c r="D14" i="29"/>
  <c r="B24" i="21"/>
  <c r="D10" i="29"/>
  <c r="D3" i="29"/>
  <c r="B18" i="21"/>
  <c r="D7" i="29"/>
  <c r="D19" i="29"/>
  <c r="B42" i="21"/>
  <c r="B40" i="21"/>
  <c r="D18" i="29"/>
  <c r="D12" i="29"/>
  <c r="C18" i="29"/>
  <c r="C12" i="29"/>
  <c r="C17" i="29"/>
  <c r="C13" i="29"/>
  <c r="C19" i="29"/>
  <c r="C16" i="29"/>
  <c r="C15" i="29"/>
  <c r="C20" i="29"/>
  <c r="C14" i="29"/>
  <c r="C9" i="29"/>
  <c r="C10" i="29"/>
  <c r="C11" i="29"/>
  <c r="C8" i="29"/>
  <c r="C7" i="29"/>
  <c r="H29" i="28"/>
  <c r="E22" i="29"/>
  <c r="E8" i="29"/>
  <c r="E18" i="29"/>
  <c r="E16" i="29"/>
  <c r="E9" i="29"/>
  <c r="E6" i="29"/>
  <c r="E19" i="29"/>
  <c r="E21" i="29"/>
  <c r="E10" i="29"/>
  <c r="E17" i="29"/>
  <c r="E12" i="29"/>
  <c r="E4" i="29"/>
  <c r="E13" i="29"/>
  <c r="E7" i="29"/>
  <c r="E5" i="29"/>
  <c r="E15" i="29"/>
  <c r="E3" i="29"/>
  <c r="E11" i="29"/>
  <c r="E14" i="29"/>
  <c r="E20" i="29"/>
  <c r="D24" i="46" l="1"/>
  <c r="D18" i="46"/>
  <c r="D28" i="46"/>
  <c r="D16" i="46"/>
  <c r="D30" i="46"/>
  <c r="D22" i="46"/>
  <c r="D20" i="46"/>
  <c r="D26" i="46"/>
  <c r="D26" i="42"/>
  <c r="D34" i="42"/>
  <c r="D28" i="42"/>
  <c r="D32" i="42"/>
  <c r="D30" i="42"/>
  <c r="H27" i="28"/>
  <c r="H28" i="28" s="1"/>
  <c r="J13" i="29" a="1"/>
  <c r="J17" i="29" a="1"/>
  <c r="J15" i="29" a="1"/>
  <c r="F4" i="29" a="1"/>
  <c r="J18" i="29" a="1"/>
  <c r="H15" i="29" a="1"/>
  <c r="H10" i="29" a="1"/>
  <c r="I11" i="29" a="1"/>
  <c r="I10" i="29" a="1"/>
  <c r="H14" i="29" a="1"/>
  <c r="F19" i="29" a="1"/>
  <c r="F3" i="29" a="1"/>
  <c r="J14" i="29" a="1"/>
  <c r="F10" i="29" a="1"/>
  <c r="I19" i="29" a="1"/>
  <c r="J16" i="29" a="1"/>
  <c r="I14" i="29" a="1"/>
  <c r="F21" i="29" a="1"/>
  <c r="H17" i="29" a="1"/>
  <c r="J10" i="29" a="1"/>
  <c r="J3" i="29" a="1"/>
  <c r="H5" i="29" a="1"/>
  <c r="F7" i="29" a="1"/>
  <c r="I8" i="29" a="1"/>
  <c r="H20" i="29" a="1"/>
  <c r="I15" i="29" a="1"/>
  <c r="I5" i="29" a="1"/>
  <c r="J21" i="29" a="1"/>
  <c r="F18" i="29" a="1"/>
  <c r="H21" i="29" a="1"/>
  <c r="H9" i="29" a="1"/>
  <c r="I12" i="29" a="1"/>
  <c r="J11" i="29" a="1"/>
  <c r="J12" i="29" a="1"/>
  <c r="J19" i="29" a="1"/>
  <c r="H3" i="29"/>
  <c r="J4" i="29" a="1"/>
  <c r="I4" i="29" a="1"/>
  <c r="F12" i="29" a="1"/>
  <c r="F16" i="29" a="1"/>
  <c r="H7" i="29" a="1"/>
  <c r="F15" i="29" a="1"/>
  <c r="F13" i="29" a="1"/>
  <c r="F8" i="29" a="1"/>
  <c r="J5" i="29" a="1"/>
  <c r="F20" i="29" a="1"/>
  <c r="J8" i="29" a="1"/>
  <c r="J6" i="29" a="1"/>
  <c r="J20" i="29" a="1"/>
  <c r="F11" i="29" a="1"/>
  <c r="J9" i="29" a="1"/>
  <c r="I7" i="29" a="1"/>
  <c r="H22" i="29" a="1"/>
  <c r="J22" i="29" a="1"/>
  <c r="I18" i="29" a="1"/>
  <c r="I6" i="29" a="1"/>
  <c r="H11" i="29" a="1"/>
  <c r="H19" i="29" a="1"/>
  <c r="I22" i="29" a="1"/>
  <c r="H16" i="29" a="1"/>
  <c r="H18" i="29" a="1"/>
  <c r="F9" i="29" a="1"/>
  <c r="H12" i="29" a="1"/>
  <c r="J7" i="29" a="1"/>
  <c r="F14" i="29" a="1"/>
  <c r="I16" i="29" a="1"/>
  <c r="F17" i="29" a="1"/>
  <c r="F5" i="29" a="1"/>
  <c r="H13" i="29" a="1"/>
  <c r="I20" i="29" a="1"/>
  <c r="F22" i="29" a="1"/>
  <c r="H4" i="29" a="1"/>
  <c r="H8" i="29" a="1"/>
  <c r="I9" i="29" a="1"/>
  <c r="I17" i="29" a="1"/>
  <c r="I3" i="29" a="1"/>
  <c r="F6" i="29" a="1"/>
  <c r="H6" i="29" a="1"/>
  <c r="I21" i="29" a="1"/>
  <c r="I13" i="29" a="1"/>
  <c r="AE27" i="42" l="1"/>
  <c r="AJ27" i="42"/>
  <c r="V26" i="42"/>
  <c r="AK26" i="42"/>
  <c r="AA27" i="42"/>
  <c r="Q27" i="42"/>
  <c r="AA35" i="42"/>
  <c r="AJ35" i="42"/>
  <c r="Q35" i="42"/>
  <c r="AK34" i="42"/>
  <c r="AE35" i="42"/>
  <c r="AA31" i="42"/>
  <c r="Q31" i="42"/>
  <c r="AE31" i="42"/>
  <c r="AJ31" i="42"/>
  <c r="AK30" i="42"/>
  <c r="Q33" i="42"/>
  <c r="AK32" i="42"/>
  <c r="AJ33" i="42"/>
  <c r="AE33" i="42"/>
  <c r="AA33" i="42"/>
  <c r="AK28" i="42"/>
  <c r="V28" i="42"/>
  <c r="AA29" i="42"/>
  <c r="Q29" i="42"/>
  <c r="AE29" i="42"/>
  <c r="AJ29" i="42"/>
  <c r="AK26" i="46"/>
  <c r="L26" i="46"/>
  <c r="AJ27" i="46"/>
  <c r="AE27" i="46"/>
  <c r="Q27" i="46"/>
  <c r="AA27" i="46"/>
  <c r="AK18" i="46"/>
  <c r="L18" i="46"/>
  <c r="AJ19" i="46"/>
  <c r="AE19" i="46"/>
  <c r="AA19" i="46"/>
  <c r="Q19" i="46"/>
  <c r="AA21" i="46"/>
  <c r="Q21" i="46"/>
  <c r="AK20" i="46"/>
  <c r="L20" i="46"/>
  <c r="AJ21" i="46"/>
  <c r="AE21" i="46"/>
  <c r="AJ23" i="46"/>
  <c r="AE23" i="46"/>
  <c r="AK22" i="46"/>
  <c r="AA23" i="46"/>
  <c r="Q23" i="46"/>
  <c r="L22" i="46"/>
  <c r="AA17" i="46"/>
  <c r="AJ17" i="46"/>
  <c r="AE17" i="46"/>
  <c r="Q17" i="46"/>
  <c r="L16" i="46"/>
  <c r="AK16" i="46"/>
  <c r="AJ31" i="46"/>
  <c r="AE31" i="46"/>
  <c r="AA31" i="46"/>
  <c r="AK30" i="46"/>
  <c r="Q31" i="46"/>
  <c r="L30" i="46"/>
  <c r="AA29" i="46"/>
  <c r="Q29" i="46"/>
  <c r="AK28" i="46"/>
  <c r="L28" i="46"/>
  <c r="AJ29" i="46"/>
  <c r="AE29" i="46"/>
  <c r="AA25" i="46"/>
  <c r="AJ25" i="46"/>
  <c r="AE25" i="46"/>
  <c r="Q25" i="46"/>
  <c r="AK24" i="46"/>
  <c r="L24" i="46"/>
  <c r="V26" i="46"/>
  <c r="V16" i="46"/>
  <c r="V28" i="46"/>
  <c r="V22" i="46"/>
  <c r="V18" i="46"/>
  <c r="V20" i="46"/>
  <c r="V30" i="46"/>
  <c r="V24" i="46"/>
  <c r="V34" i="42"/>
  <c r="L34" i="42"/>
  <c r="L26" i="42"/>
  <c r="V30" i="42"/>
  <c r="L30" i="42"/>
  <c r="V32" i="42"/>
  <c r="L32" i="42"/>
  <c r="L28" i="42"/>
  <c r="F14" i="29"/>
  <c r="I18" i="29"/>
  <c r="I17" i="29"/>
  <c r="H7" i="29"/>
  <c r="J22" i="29"/>
  <c r="H20" i="29"/>
  <c r="H12" i="29"/>
  <c r="H13" i="29"/>
  <c r="F21" i="29"/>
  <c r="H19" i="29"/>
  <c r="J14" i="29"/>
  <c r="J17" i="29"/>
  <c r="F7" i="29"/>
  <c r="J18" i="29"/>
  <c r="J13" i="29"/>
  <c r="H22" i="29"/>
  <c r="J21" i="29"/>
  <c r="I19" i="29"/>
  <c r="H14" i="29"/>
  <c r="J20" i="29"/>
  <c r="F12" i="29"/>
  <c r="I13" i="29"/>
  <c r="I15" i="29"/>
  <c r="H16" i="29"/>
  <c r="I21" i="29"/>
  <c r="F19" i="29"/>
  <c r="F15" i="29"/>
  <c r="F17" i="29"/>
  <c r="F16" i="29"/>
  <c r="F20" i="29"/>
  <c r="F18" i="29"/>
  <c r="F22" i="29"/>
  <c r="G22" i="29" s="1"/>
  <c r="F13" i="29"/>
  <c r="I16" i="29"/>
  <c r="I22" i="29"/>
  <c r="H15" i="29"/>
  <c r="H21" i="29"/>
  <c r="I20" i="29"/>
  <c r="H18" i="29"/>
  <c r="J15" i="29"/>
  <c r="J16" i="29"/>
  <c r="J19" i="29"/>
  <c r="H17" i="29"/>
  <c r="I14" i="29"/>
  <c r="H4" i="29"/>
  <c r="F4" i="29"/>
  <c r="I4" i="29"/>
  <c r="F5" i="29"/>
  <c r="J9" i="29"/>
  <c r="J5" i="29"/>
  <c r="I3" i="29"/>
  <c r="H8" i="29"/>
  <c r="F8" i="29"/>
  <c r="C18" i="21" s="1"/>
  <c r="I7" i="29"/>
  <c r="J10" i="29"/>
  <c r="I5" i="29"/>
  <c r="H11" i="29"/>
  <c r="F9" i="29"/>
  <c r="F10" i="29"/>
  <c r="F11" i="29"/>
  <c r="J4" i="29"/>
  <c r="H5" i="29"/>
  <c r="J8" i="29"/>
  <c r="H9" i="29"/>
  <c r="I11" i="29"/>
  <c r="I6" i="29"/>
  <c r="J3" i="29"/>
  <c r="I8" i="29"/>
  <c r="I10" i="29"/>
  <c r="I12" i="29"/>
  <c r="J7" i="29"/>
  <c r="F6" i="29"/>
  <c r="I9" i="29"/>
  <c r="H6" i="29"/>
  <c r="J11" i="29"/>
  <c r="H10" i="29"/>
  <c r="J12" i="29"/>
  <c r="F3" i="29"/>
  <c r="C9" i="21" s="1"/>
  <c r="AW33" i="20" s="1"/>
  <c r="J6" i="29"/>
  <c r="AK32" i="46" l="1"/>
  <c r="AE32" i="46"/>
  <c r="Q32" i="46"/>
  <c r="AJ33" i="46"/>
  <c r="AA32" i="46"/>
  <c r="L32" i="46"/>
  <c r="V32" i="46"/>
  <c r="H24" i="42"/>
  <c r="D16" i="42"/>
  <c r="C12" i="21"/>
  <c r="C13" i="21"/>
  <c r="C14" i="21"/>
  <c r="C15" i="21"/>
  <c r="C10" i="21"/>
  <c r="C11" i="21"/>
  <c r="C17" i="21"/>
  <c r="C16" i="21"/>
  <c r="G20" i="29"/>
  <c r="G14" i="29"/>
  <c r="G15" i="29"/>
  <c r="G19" i="29"/>
  <c r="G18" i="29"/>
  <c r="G21" i="29"/>
  <c r="G16" i="29"/>
  <c r="G13" i="29"/>
  <c r="G12" i="29"/>
  <c r="G17" i="29"/>
  <c r="G7" i="29"/>
  <c r="G5" i="29"/>
  <c r="G6" i="29"/>
  <c r="G4" i="29"/>
  <c r="G8" i="29"/>
  <c r="G9" i="29"/>
  <c r="G10" i="29"/>
  <c r="G3" i="29"/>
  <c r="G11" i="29"/>
  <c r="AK16" i="42" l="1"/>
  <c r="L16" i="42"/>
  <c r="AJ17" i="42"/>
  <c r="Q17" i="42"/>
  <c r="AA17" i="42"/>
  <c r="V16" i="42"/>
  <c r="AE17" i="42"/>
  <c r="BD17" i="46"/>
  <c r="H20" i="42"/>
  <c r="H18" i="42"/>
  <c r="H22" i="42"/>
  <c r="D24" i="42"/>
  <c r="L24" i="42" s="1"/>
  <c r="H16" i="42"/>
  <c r="D20" i="42"/>
  <c r="D22" i="42"/>
  <c r="D18" i="42"/>
  <c r="AK18" i="42" s="1"/>
  <c r="AW36" i="20"/>
  <c r="D9" i="21"/>
  <c r="D43" i="21"/>
  <c r="D41" i="21"/>
  <c r="D39" i="21"/>
  <c r="D37" i="21"/>
  <c r="D35" i="21"/>
  <c r="D33" i="21"/>
  <c r="D31" i="21"/>
  <c r="D29" i="21"/>
  <c r="D27" i="21"/>
  <c r="D23" i="21"/>
  <c r="D25" i="21"/>
  <c r="D17" i="21"/>
  <c r="D21" i="21"/>
  <c r="D13" i="21"/>
  <c r="D19" i="21"/>
  <c r="D11" i="21"/>
  <c r="D15" i="21"/>
  <c r="AJ19" i="42" l="1"/>
  <c r="AE19" i="42"/>
  <c r="L18" i="42"/>
  <c r="AA19" i="42"/>
  <c r="Q19" i="42"/>
  <c r="V18" i="42"/>
  <c r="AA23" i="42"/>
  <c r="L22" i="42"/>
  <c r="AE23" i="42"/>
  <c r="AK22" i="42"/>
  <c r="V22" i="42"/>
  <c r="AJ23" i="42"/>
  <c r="Q23" i="42"/>
  <c r="AK20" i="42"/>
  <c r="Q21" i="42"/>
  <c r="AJ21" i="42"/>
  <c r="L20" i="42"/>
  <c r="V20" i="42"/>
  <c r="AE21" i="42"/>
  <c r="AA21" i="42"/>
  <c r="AK24" i="42"/>
  <c r="AE25" i="42"/>
  <c r="Q25" i="42"/>
  <c r="V24" i="42"/>
  <c r="AJ25" i="42"/>
  <c r="AA25" i="42"/>
  <c r="AK36" i="42" l="1"/>
  <c r="AJ37" i="42"/>
  <c r="AE36" i="42"/>
  <c r="AA36" i="42"/>
  <c r="V36" i="42"/>
  <c r="Q36" i="42"/>
  <c r="L36" i="42"/>
  <c r="BD17" i="42" l="1"/>
  <c r="I8" i="42" s="1"/>
</calcChain>
</file>

<file path=xl/sharedStrings.xml><?xml version="1.0" encoding="utf-8"?>
<sst xmlns="http://schemas.openxmlformats.org/spreadsheetml/2006/main" count="2093" uniqueCount="492">
  <si>
    <t>船</t>
    <rPh sb="0" eb="1">
      <t>フネ</t>
    </rPh>
    <phoneticPr fontId="8"/>
  </si>
  <si>
    <t>甲</t>
    <rPh sb="0" eb="1">
      <t>コウ</t>
    </rPh>
    <phoneticPr fontId="8"/>
  </si>
  <si>
    <t>乙</t>
    <rPh sb="0" eb="1">
      <t>オツ</t>
    </rPh>
    <phoneticPr fontId="8"/>
  </si>
  <si>
    <t>計</t>
    <rPh sb="0" eb="1">
      <t>ケイ</t>
    </rPh>
    <phoneticPr fontId="8"/>
  </si>
  <si>
    <t>年月日</t>
    <rPh sb="0" eb="3">
      <t>ネンガッピ</t>
    </rPh>
    <phoneticPr fontId="8"/>
  </si>
  <si>
    <t>埼玉県</t>
  </si>
  <si>
    <t>千葉県</t>
  </si>
  <si>
    <t>東京都</t>
  </si>
  <si>
    <t>神奈川県</t>
  </si>
  <si>
    <t>愛知県</t>
  </si>
  <si>
    <t>京都府</t>
  </si>
  <si>
    <t>大阪府</t>
  </si>
  <si>
    <t>兵庫県</t>
  </si>
  <si>
    <t>福岡県</t>
  </si>
  <si>
    <t>広島県</t>
  </si>
  <si>
    <t>その他</t>
  </si>
  <si>
    <t>１．職員情報</t>
    <rPh sb="2" eb="4">
      <t>ショクイン</t>
    </rPh>
    <rPh sb="4" eb="6">
      <t>ジョウホウ</t>
    </rPh>
    <phoneticPr fontId="12"/>
  </si>
  <si>
    <t>職員番号</t>
    <rPh sb="0" eb="4">
      <t>ショクインバンゴウ</t>
    </rPh>
    <phoneticPr fontId="12"/>
  </si>
  <si>
    <t>氏名</t>
    <rPh sb="0" eb="2">
      <t>シメイ</t>
    </rPh>
    <phoneticPr fontId="12"/>
  </si>
  <si>
    <t>フリガナ</t>
    <phoneticPr fontId="12"/>
  </si>
  <si>
    <t>局</t>
    <rPh sb="0" eb="1">
      <t>キョク</t>
    </rPh>
    <phoneticPr fontId="12"/>
  </si>
  <si>
    <t>部</t>
    <rPh sb="0" eb="1">
      <t>ブ</t>
    </rPh>
    <phoneticPr fontId="12"/>
  </si>
  <si>
    <t>課</t>
    <rPh sb="0" eb="1">
      <t>カ</t>
    </rPh>
    <phoneticPr fontId="12"/>
  </si>
  <si>
    <t>自宅住所</t>
    <rPh sb="0" eb="2">
      <t>ジタク</t>
    </rPh>
    <rPh sb="2" eb="4">
      <t>ジュウショ</t>
    </rPh>
    <phoneticPr fontId="12"/>
  </si>
  <si>
    <t>４．申請経路</t>
    <rPh sb="2" eb="6">
      <t>シンセイケイロ</t>
    </rPh>
    <phoneticPr fontId="12"/>
  </si>
  <si>
    <t>区間</t>
    <rPh sb="0" eb="2">
      <t>クカン</t>
    </rPh>
    <phoneticPr fontId="12"/>
  </si>
  <si>
    <t>円</t>
    <rPh sb="0" eb="1">
      <t>エン</t>
    </rPh>
    <phoneticPr fontId="12"/>
  </si>
  <si>
    <t>出発地</t>
    <rPh sb="0" eb="2">
      <t>シュッパツ</t>
    </rPh>
    <rPh sb="2" eb="3">
      <t>チ</t>
    </rPh>
    <phoneticPr fontId="12"/>
  </si>
  <si>
    <t>距離</t>
    <rPh sb="0" eb="2">
      <t>キョリ</t>
    </rPh>
    <phoneticPr fontId="12"/>
  </si>
  <si>
    <t>到着地</t>
    <phoneticPr fontId="12"/>
  </si>
  <si>
    <t>料金</t>
    <rPh sb="0" eb="2">
      <t>リョウキン</t>
    </rPh>
    <phoneticPr fontId="12"/>
  </si>
  <si>
    <t>職層名</t>
    <rPh sb="0" eb="2">
      <t>ショクソウ</t>
    </rPh>
    <rPh sb="2" eb="3">
      <t>ナ</t>
    </rPh>
    <phoneticPr fontId="12"/>
  </si>
  <si>
    <t>職級</t>
    <rPh sb="0" eb="2">
      <t>ショッキュウ</t>
    </rPh>
    <phoneticPr fontId="12"/>
  </si>
  <si>
    <t>２．異動前の所属部署及び勤務地（旧在勤庁）</t>
    <rPh sb="2" eb="5">
      <t>イドウマエ</t>
    </rPh>
    <rPh sb="6" eb="8">
      <t>ショゾク</t>
    </rPh>
    <rPh sb="8" eb="10">
      <t>ブショ</t>
    </rPh>
    <rPh sb="10" eb="11">
      <t>オヨ</t>
    </rPh>
    <rPh sb="12" eb="15">
      <t>キンムチ</t>
    </rPh>
    <rPh sb="16" eb="17">
      <t>キュウ</t>
    </rPh>
    <rPh sb="17" eb="19">
      <t>ザイキン</t>
    </rPh>
    <rPh sb="19" eb="20">
      <t>チョウ</t>
    </rPh>
    <phoneticPr fontId="12"/>
  </si>
  <si>
    <t>経路検索結果1</t>
    <rPh sb="0" eb="2">
      <t>ケイロ</t>
    </rPh>
    <rPh sb="2" eb="4">
      <t>ケンサク</t>
    </rPh>
    <rPh sb="4" eb="6">
      <t>ケッカ</t>
    </rPh>
    <phoneticPr fontId="12"/>
  </si>
  <si>
    <t>経路検索結果2</t>
    <phoneticPr fontId="12"/>
  </si>
  <si>
    <t>経路検索結果3</t>
    <phoneticPr fontId="12"/>
  </si>
  <si>
    <t>例</t>
    <rPh sb="0" eb="1">
      <t>レイ</t>
    </rPh>
    <phoneticPr fontId="12"/>
  </si>
  <si>
    <t>経由地</t>
    <rPh sb="0" eb="3">
      <t>ケイユチ</t>
    </rPh>
    <phoneticPr fontId="12"/>
  </si>
  <si>
    <t>#1の■</t>
    <phoneticPr fontId="12"/>
  </si>
  <si>
    <t>#1の1行目｜</t>
    <rPh sb="4" eb="6">
      <t>ギョウメ</t>
    </rPh>
    <phoneticPr fontId="12"/>
  </si>
  <si>
    <t>路線</t>
    <rPh sb="0" eb="2">
      <t>ロセン</t>
    </rPh>
    <phoneticPr fontId="12"/>
  </si>
  <si>
    <t>#1の" "</t>
    <phoneticPr fontId="12"/>
  </si>
  <si>
    <t>#1の2行目｜</t>
    <rPh sb="4" eb="6">
      <t>ギョウメ</t>
    </rPh>
    <phoneticPr fontId="12"/>
  </si>
  <si>
    <t>#1（乗車）</t>
    <rPh sb="3" eb="5">
      <t>ジョウシャ</t>
    </rPh>
    <phoneticPr fontId="12"/>
  </si>
  <si>
    <t>#1の3行目｜</t>
    <rPh sb="4" eb="6">
      <t>ギョウメ</t>
    </rPh>
    <phoneticPr fontId="12"/>
  </si>
  <si>
    <t>時間</t>
    <rPh sb="0" eb="2">
      <t>ジカン</t>
    </rPh>
    <phoneticPr fontId="12"/>
  </si>
  <si>
    <t>#2の◇</t>
    <phoneticPr fontId="12"/>
  </si>
  <si>
    <t>#2の1行目｜</t>
    <rPh sb="4" eb="6">
      <t>ギョウメ</t>
    </rPh>
    <phoneticPr fontId="12"/>
  </si>
  <si>
    <t>#2の◇の後の最初の" "</t>
    <rPh sb="5" eb="6">
      <t>アト</t>
    </rPh>
    <rPh sb="7" eb="9">
      <t>サイショ</t>
    </rPh>
    <phoneticPr fontId="12"/>
  </si>
  <si>
    <t>#2の2行目｜</t>
    <rPh sb="4" eb="6">
      <t>ギョウメ</t>
    </rPh>
    <phoneticPr fontId="12"/>
  </si>
  <si>
    <t>#2</t>
    <phoneticPr fontId="12"/>
  </si>
  <si>
    <t>#2の3行目｜</t>
    <rPh sb="4" eb="6">
      <t>ギョウメ</t>
    </rPh>
    <phoneticPr fontId="12"/>
  </si>
  <si>
    <t>#3の◇</t>
  </si>
  <si>
    <t>#3の1行目｜</t>
    <rPh sb="4" eb="6">
      <t>ギョウメ</t>
    </rPh>
    <phoneticPr fontId="12"/>
  </si>
  <si>
    <t>#3の◇の後の最初の" "</t>
    <rPh sb="5" eb="6">
      <t>アト</t>
    </rPh>
    <rPh sb="7" eb="9">
      <t>サイショ</t>
    </rPh>
    <phoneticPr fontId="12"/>
  </si>
  <si>
    <t>#3の2行目｜</t>
    <rPh sb="4" eb="6">
      <t>ギョウメ</t>
    </rPh>
    <phoneticPr fontId="12"/>
  </si>
  <si>
    <t>#3</t>
  </si>
  <si>
    <t>#3の3行目｜</t>
    <rPh sb="4" eb="6">
      <t>ギョウメ</t>
    </rPh>
    <phoneticPr fontId="12"/>
  </si>
  <si>
    <t>#4の◇</t>
  </si>
  <si>
    <t>#4の1行目｜</t>
  </si>
  <si>
    <t>#4の◇の後の最初の" "</t>
    <rPh sb="5" eb="6">
      <t>アト</t>
    </rPh>
    <rPh sb="7" eb="9">
      <t>サイショ</t>
    </rPh>
    <phoneticPr fontId="12"/>
  </si>
  <si>
    <t>#4の2行目｜</t>
  </si>
  <si>
    <t>#4</t>
  </si>
  <si>
    <t>#4の3行目｜</t>
  </si>
  <si>
    <t>#5の◇</t>
  </si>
  <si>
    <t>#5の1行目｜</t>
  </si>
  <si>
    <t>#5の◇の後の最初の" "</t>
    <rPh sb="5" eb="6">
      <t>アト</t>
    </rPh>
    <rPh sb="7" eb="9">
      <t>サイショ</t>
    </rPh>
    <phoneticPr fontId="12"/>
  </si>
  <si>
    <t>#5の2行目｜</t>
  </si>
  <si>
    <t>#5</t>
  </si>
  <si>
    <t>#5の3行目｜</t>
  </si>
  <si>
    <t>#6の◇</t>
  </si>
  <si>
    <t>#6の1行目｜</t>
  </si>
  <si>
    <t>#6の◇の後の最初の" "</t>
    <rPh sb="5" eb="6">
      <t>アト</t>
    </rPh>
    <rPh sb="7" eb="9">
      <t>サイショ</t>
    </rPh>
    <phoneticPr fontId="12"/>
  </si>
  <si>
    <t>#6の2行目｜</t>
  </si>
  <si>
    <t>#6</t>
  </si>
  <si>
    <t>#6の3行目｜</t>
  </si>
  <si>
    <t>#7の◇</t>
  </si>
  <si>
    <t>#7の1行目｜</t>
  </si>
  <si>
    <t>#7の◇の後の最初の" "</t>
    <rPh sb="5" eb="6">
      <t>アト</t>
    </rPh>
    <rPh sb="7" eb="9">
      <t>サイショ</t>
    </rPh>
    <phoneticPr fontId="12"/>
  </si>
  <si>
    <t>#7の2行目｜</t>
  </si>
  <si>
    <t>#7</t>
  </si>
  <si>
    <t>#7の3行目｜</t>
  </si>
  <si>
    <t>#8の◇</t>
  </si>
  <si>
    <t>#8の1行目｜</t>
  </si>
  <si>
    <t>#8の◇の後の最初の" "</t>
    <rPh sb="5" eb="6">
      <t>アト</t>
    </rPh>
    <rPh sb="7" eb="9">
      <t>サイショ</t>
    </rPh>
    <phoneticPr fontId="12"/>
  </si>
  <si>
    <t>#8の2行目｜</t>
  </si>
  <si>
    <t>#8</t>
  </si>
  <si>
    <t>#8の3行目｜</t>
  </si>
  <si>
    <t>#9の◇</t>
  </si>
  <si>
    <t>#9の1行目｜</t>
  </si>
  <si>
    <t>#9の◇の後の最初の" "</t>
    <rPh sb="5" eb="6">
      <t>アト</t>
    </rPh>
    <rPh sb="7" eb="9">
      <t>サイショ</t>
    </rPh>
    <phoneticPr fontId="12"/>
  </si>
  <si>
    <t>#9の2行目｜</t>
  </si>
  <si>
    <t>#9</t>
  </si>
  <si>
    <t>#9の3行目｜</t>
  </si>
  <si>
    <t>#10の■</t>
    <phoneticPr fontId="12"/>
  </si>
  <si>
    <t>#10の1行目｜</t>
  </si>
  <si>
    <t>#10の■の後の最初の" "</t>
    <rPh sb="6" eb="7">
      <t>アト</t>
    </rPh>
    <rPh sb="8" eb="10">
      <t>サイショ</t>
    </rPh>
    <phoneticPr fontId="12"/>
  </si>
  <si>
    <t>#10の2行目｜</t>
  </si>
  <si>
    <t>#10（降車）</t>
    <rPh sb="4" eb="6">
      <t>コウシャ</t>
    </rPh>
    <phoneticPr fontId="12"/>
  </si>
  <si>
    <t>#10の3行目｜</t>
  </si>
  <si>
    <t>乗り換え回数</t>
    <rPh sb="0" eb="1">
      <t>ノ</t>
    </rPh>
    <rPh sb="2" eb="3">
      <t>カ</t>
    </rPh>
    <rPh sb="4" eb="6">
      <t>カイスウ</t>
    </rPh>
    <phoneticPr fontId="12"/>
  </si>
  <si>
    <t>#</t>
    <phoneticPr fontId="12"/>
  </si>
  <si>
    <t>Sheet</t>
    <phoneticPr fontId="12"/>
  </si>
  <si>
    <t>Count</t>
    <phoneticPr fontId="12"/>
  </si>
  <si>
    <t>Last</t>
    <phoneticPr fontId="12"/>
  </si>
  <si>
    <t>Row</t>
    <phoneticPr fontId="12"/>
  </si>
  <si>
    <t>経由地名</t>
    <rPh sb="0" eb="2">
      <t>ケイユ</t>
    </rPh>
    <rPh sb="2" eb="4">
      <t>チメイ</t>
    </rPh>
    <phoneticPr fontId="12"/>
  </si>
  <si>
    <t>路線名</t>
    <rPh sb="0" eb="2">
      <t>ロセン</t>
    </rPh>
    <rPh sb="2" eb="3">
      <t>メイ</t>
    </rPh>
    <phoneticPr fontId="12"/>
  </si>
  <si>
    <t>旅程内容</t>
    <rPh sb="0" eb="2">
      <t>リョテイ</t>
    </rPh>
    <rPh sb="2" eb="4">
      <t>ナイヨウ</t>
    </rPh>
    <phoneticPr fontId="8"/>
  </si>
  <si>
    <t>旅行日</t>
    <rPh sb="0" eb="3">
      <t>リョコウビ</t>
    </rPh>
    <phoneticPr fontId="8"/>
  </si>
  <si>
    <t>備考欄</t>
    <rPh sb="0" eb="3">
      <t>ビコウラン</t>
    </rPh>
    <phoneticPr fontId="8"/>
  </si>
  <si>
    <t>申請理由（必須選択）</t>
    <rPh sb="0" eb="4">
      <t>シンセイリユウ</t>
    </rPh>
    <rPh sb="5" eb="7">
      <t>ヒッス</t>
    </rPh>
    <rPh sb="7" eb="9">
      <t>センタク</t>
    </rPh>
    <phoneticPr fontId="8"/>
  </si>
  <si>
    <t>■東京都八丈町三根１６２２     
｜ 　徒歩   0.2km   
｜ 　(07:55)-(07:59)［4分］
｜ 　
◇護神     
｜ 　[八丈町営バス]循環路線［護神・八重根経由］１便(町営バス行)       
｜ 　07:59-08:04［5分］
｜ 　140円
◇八丈島空港     ［61分待ち］
｜ 　ANA1892便   285.0km   
｜ 　09:05-10:00［55分］
｜ 　27,770円（ ＦＬＥＸ最高 ）
◇羽田空港/羽田空港第２ターミナル    1・2番線発 ［29分待ち］
｜ 　東京モノレール空港快速(浜松町行)   17.8km   3号車
｜ 　10:29-10:48［19分］
｜ 　492円
◇浜松町/大門（東京）    4番線発 ［13分待ち］
｜ 　都営大江戸線六本木経由(光が丘行)   8.6km   前／7号車
｜ 　11:01-11:19［18分］
｜ 　220円
■都庁前    4番線着</t>
    <phoneticPr fontId="12"/>
  </si>
  <si>
    <t>旧自宅住所</t>
    <rPh sb="0" eb="1">
      <t>キュウ</t>
    </rPh>
    <rPh sb="1" eb="3">
      <t>ジタク</t>
    </rPh>
    <rPh sb="3" eb="5">
      <t>ジュウショ</t>
    </rPh>
    <phoneticPr fontId="12"/>
  </si>
  <si>
    <t>新在勤庁名</t>
    <rPh sb="0" eb="1">
      <t>シン</t>
    </rPh>
    <rPh sb="1" eb="3">
      <t>ザイキン</t>
    </rPh>
    <rPh sb="3" eb="4">
      <t>チョウ</t>
    </rPh>
    <rPh sb="4" eb="5">
      <t>メイ</t>
    </rPh>
    <phoneticPr fontId="12"/>
  </si>
  <si>
    <t>申請理由</t>
    <rPh sb="0" eb="4">
      <t>シンセイリユウ</t>
    </rPh>
    <phoneticPr fontId="8"/>
  </si>
  <si>
    <t>１回目の申請</t>
    <phoneticPr fontId="8"/>
  </si>
  <si>
    <t>２回目以降の申請</t>
    <phoneticPr fontId="8"/>
  </si>
  <si>
    <t>退職帰住</t>
    <phoneticPr fontId="8"/>
  </si>
  <si>
    <t>旧在勤庁住所</t>
    <rPh sb="0" eb="1">
      <t>キュウ</t>
    </rPh>
    <rPh sb="1" eb="3">
      <t>ザイキン</t>
    </rPh>
    <rPh sb="3" eb="4">
      <t>チョウ</t>
    </rPh>
    <rPh sb="4" eb="6">
      <t>ジュウショ</t>
    </rPh>
    <phoneticPr fontId="12"/>
  </si>
  <si>
    <t>【乗換案内検索結果入力シート】シートにご記入ください。</t>
    <rPh sb="1" eb="3">
      <t>ノリカエ</t>
    </rPh>
    <rPh sb="3" eb="5">
      <t>アンナイ</t>
    </rPh>
    <rPh sb="5" eb="7">
      <t>ケンサク</t>
    </rPh>
    <rPh sb="7" eb="9">
      <t>ケッカ</t>
    </rPh>
    <rPh sb="9" eb="11">
      <t>ニュウリョク</t>
    </rPh>
    <rPh sb="20" eb="22">
      <t>キニュウ</t>
    </rPh>
    <phoneticPr fontId="12"/>
  </si>
  <si>
    <t>交通手段区分</t>
    <rPh sb="0" eb="2">
      <t>コウツウ</t>
    </rPh>
    <rPh sb="2" eb="4">
      <t>シュダン</t>
    </rPh>
    <rPh sb="4" eb="6">
      <t>クブン</t>
    </rPh>
    <phoneticPr fontId="12"/>
  </si>
  <si>
    <t>キロ程</t>
    <rPh sb="2" eb="3">
      <t>ホド</t>
    </rPh>
    <phoneticPr fontId="12"/>
  </si>
  <si>
    <t>路程（4倍）</t>
    <rPh sb="0" eb="2">
      <t>ロテイ</t>
    </rPh>
    <rPh sb="4" eb="5">
      <t>バイ</t>
    </rPh>
    <phoneticPr fontId="12"/>
  </si>
  <si>
    <t>経路</t>
    <rPh sb="0" eb="2">
      <t>ケイロ</t>
    </rPh>
    <phoneticPr fontId="8"/>
  </si>
  <si>
    <t>飛行機（東京-大島）</t>
  </si>
  <si>
    <t>徒歩・その他の交通用具</t>
    <phoneticPr fontId="8"/>
  </si>
  <si>
    <t>タクシー</t>
    <phoneticPr fontId="8"/>
  </si>
  <si>
    <t>バス</t>
    <phoneticPr fontId="8"/>
  </si>
  <si>
    <t>飛行機（東京-三宅島）</t>
  </si>
  <si>
    <t>飛行機（東京-八丈島）</t>
  </si>
  <si>
    <t>飛行機（大島-新島）</t>
  </si>
  <si>
    <t>飛行機（大島-利島）</t>
  </si>
  <si>
    <t>飛行機（大島-式根島）</t>
  </si>
  <si>
    <t>飛行機（大島-神津島）</t>
  </si>
  <si>
    <t>船（東京-大島）</t>
  </si>
  <si>
    <t>船（東京-三宅島）</t>
  </si>
  <si>
    <t>船（東京-八丈島）</t>
  </si>
  <si>
    <t>船（東京-小笠原父島）</t>
  </si>
  <si>
    <t>船（東京-小笠原母島）</t>
  </si>
  <si>
    <t>船（大島-新島）</t>
  </si>
  <si>
    <t>船（大島-利島）</t>
  </si>
  <si>
    <t>船（大島-式根島）</t>
  </si>
  <si>
    <t>船（大島-神津島）</t>
  </si>
  <si>
    <t>交通手段区分</t>
  </si>
  <si>
    <t>船（東京-新島）</t>
    <rPh sb="2" eb="4">
      <t>トウキョウ</t>
    </rPh>
    <phoneticPr fontId="8"/>
  </si>
  <si>
    <t>現金支給希望有無</t>
    <rPh sb="6" eb="8">
      <t>ウム</t>
    </rPh>
    <phoneticPr fontId="8"/>
  </si>
  <si>
    <r>
      <t xml:space="preserve">交通手段
</t>
    </r>
    <r>
      <rPr>
        <sz val="11"/>
        <rFont val="Meiryo UI"/>
        <family val="3"/>
        <charset val="128"/>
      </rPr>
      <t>(自動入力①)</t>
    </r>
    <rPh sb="0" eb="2">
      <t>コウツウ</t>
    </rPh>
    <rPh sb="2" eb="4">
      <t>シュダン</t>
    </rPh>
    <rPh sb="6" eb="10">
      <t>ジドウニュウリョク</t>
    </rPh>
    <phoneticPr fontId="12"/>
  </si>
  <si>
    <t>①乗換が最少の経路を選択</t>
    <rPh sb="1" eb="3">
      <t>ノリカエ</t>
    </rPh>
    <rPh sb="4" eb="6">
      <t>サイショウ</t>
    </rPh>
    <rPh sb="7" eb="9">
      <t>ケイロ</t>
    </rPh>
    <rPh sb="10" eb="12">
      <t>センタク</t>
    </rPh>
    <phoneticPr fontId="4"/>
  </si>
  <si>
    <t>②最安より早い（最早の金額以内）経路を選択</t>
    <rPh sb="1" eb="3">
      <t>サイヤス</t>
    </rPh>
    <rPh sb="5" eb="6">
      <t>ハヤ</t>
    </rPh>
    <rPh sb="8" eb="10">
      <t>サイハヤ</t>
    </rPh>
    <rPh sb="11" eb="15">
      <t>キンガクイナイ</t>
    </rPh>
    <rPh sb="16" eb="18">
      <t>ケイロ</t>
    </rPh>
    <rPh sb="19" eb="21">
      <t>センタク</t>
    </rPh>
    <phoneticPr fontId="4"/>
  </si>
  <si>
    <t>③バスを含まない経路（うち最安又は最早）を選択</t>
    <rPh sb="4" eb="5">
      <t>フク</t>
    </rPh>
    <rPh sb="8" eb="10">
      <t>ケイロ</t>
    </rPh>
    <rPh sb="13" eb="15">
      <t>サイヤス</t>
    </rPh>
    <rPh sb="15" eb="16">
      <t>マタ</t>
    </rPh>
    <rPh sb="17" eb="19">
      <t>サイハヤ</t>
    </rPh>
    <rPh sb="21" eb="23">
      <t>センタク</t>
    </rPh>
    <phoneticPr fontId="4"/>
  </si>
  <si>
    <t>④荒天又は傷病のため徒歩乗換を含まない経路を選択</t>
    <rPh sb="1" eb="3">
      <t>コウテン</t>
    </rPh>
    <rPh sb="3" eb="4">
      <t>マタ</t>
    </rPh>
    <rPh sb="5" eb="7">
      <t>ショウビョウ</t>
    </rPh>
    <rPh sb="10" eb="14">
      <t>トホノリカエ</t>
    </rPh>
    <rPh sb="15" eb="16">
      <t>フク</t>
    </rPh>
    <rPh sb="19" eb="21">
      <t>ケイロ</t>
    </rPh>
    <rPh sb="22" eb="24">
      <t>センタク</t>
    </rPh>
    <phoneticPr fontId="4"/>
  </si>
  <si>
    <t>⑤交通事故・運休・遅延を含まない経路を選択</t>
    <rPh sb="1" eb="5">
      <t>コウツウジコ</t>
    </rPh>
    <rPh sb="6" eb="8">
      <t>ウンキュウ</t>
    </rPh>
    <rPh sb="9" eb="11">
      <t>チエン</t>
    </rPh>
    <rPh sb="12" eb="13">
      <t>フク</t>
    </rPh>
    <rPh sb="16" eb="18">
      <t>ケイロ</t>
    </rPh>
    <rPh sb="19" eb="21">
      <t>センタク</t>
    </rPh>
    <phoneticPr fontId="4"/>
  </si>
  <si>
    <t>⑥運行本数が少ない又は運行がない経路を含まない経路を選択</t>
    <rPh sb="1" eb="5">
      <t>ウンコウホンスウ</t>
    </rPh>
    <rPh sb="6" eb="7">
      <t>スク</t>
    </rPh>
    <rPh sb="9" eb="10">
      <t>マタ</t>
    </rPh>
    <rPh sb="11" eb="13">
      <t>ウンコウ</t>
    </rPh>
    <rPh sb="16" eb="18">
      <t>ケイロ</t>
    </rPh>
    <rPh sb="19" eb="20">
      <t>フク</t>
    </rPh>
    <rPh sb="23" eb="25">
      <t>ケイロ</t>
    </rPh>
    <rPh sb="26" eb="28">
      <t>センタク</t>
    </rPh>
    <phoneticPr fontId="4"/>
  </si>
  <si>
    <t>経路選択理由</t>
    <rPh sb="0" eb="2">
      <t>ケイロ</t>
    </rPh>
    <rPh sb="2" eb="4">
      <t>センタク</t>
    </rPh>
    <rPh sb="4" eb="6">
      <t>リユウ</t>
    </rPh>
    <phoneticPr fontId="8"/>
  </si>
  <si>
    <t>経路選択理由</t>
    <rPh sb="0" eb="2">
      <t>ケイロ</t>
    </rPh>
    <rPh sb="2" eb="4">
      <t>センタク</t>
    </rPh>
    <rPh sb="4" eb="6">
      <t>リユウ</t>
    </rPh>
    <phoneticPr fontId="8"/>
  </si>
  <si>
    <r>
      <t xml:space="preserve">情報連携シート
</t>
    </r>
    <r>
      <rPr>
        <b/>
        <sz val="12"/>
        <color theme="1"/>
        <rFont val="Meiryo UI"/>
        <family val="3"/>
        <charset val="128"/>
      </rPr>
      <t>（基本情報入力シート（電子申請））</t>
    </r>
    <rPh sb="0" eb="4">
      <t>ジョウホウレンケイ</t>
    </rPh>
    <rPh sb="9" eb="13">
      <t>キホンジョウホウ</t>
    </rPh>
    <rPh sb="13" eb="15">
      <t>ニュウリョク</t>
    </rPh>
    <rPh sb="19" eb="23">
      <t>デンシシンセイ</t>
    </rPh>
    <phoneticPr fontId="12"/>
  </si>
  <si>
    <t>職員の移転経路</t>
    <rPh sb="0" eb="2">
      <t>ショクイン</t>
    </rPh>
    <rPh sb="3" eb="5">
      <t>イテン</t>
    </rPh>
    <rPh sb="5" eb="7">
      <t>ケイロ</t>
    </rPh>
    <phoneticPr fontId="12"/>
  </si>
  <si>
    <t>20231023追加</t>
    <rPh sb="8" eb="10">
      <t>ツイカ</t>
    </rPh>
    <phoneticPr fontId="8"/>
  </si>
  <si>
    <t>飛行機</t>
  </si>
  <si>
    <t>船</t>
  </si>
  <si>
    <t>船</t>
    <phoneticPr fontId="8"/>
  </si>
  <si>
    <t>ヘリ</t>
  </si>
  <si>
    <t>東京-大島</t>
  </si>
  <si>
    <t>東京-三宅島</t>
  </si>
  <si>
    <t>東京-八丈島</t>
  </si>
  <si>
    <t>大島-新島</t>
  </si>
  <si>
    <t>大島-利島</t>
  </si>
  <si>
    <t>大島-式根島</t>
  </si>
  <si>
    <t>大島-神津島</t>
  </si>
  <si>
    <t>東京-小笠原父島</t>
  </si>
  <si>
    <t>東京-小笠原母島</t>
  </si>
  <si>
    <t>東京-新島</t>
  </si>
  <si>
    <t>東京-新島</t>
    <rPh sb="0" eb="2">
      <t>トウキョウ</t>
    </rPh>
    <phoneticPr fontId="8"/>
  </si>
  <si>
    <t>東京-利島</t>
  </si>
  <si>
    <t>東京-式根島</t>
  </si>
  <si>
    <t>東京-神津島</t>
  </si>
  <si>
    <t>父島-母島</t>
  </si>
  <si>
    <t>東京-御蔵島</t>
  </si>
  <si>
    <t>飛行機</t>
    <phoneticPr fontId="8"/>
  </si>
  <si>
    <t>経路</t>
    <rPh sb="0" eb="2">
      <t>ケイロ</t>
    </rPh>
    <phoneticPr fontId="8"/>
  </si>
  <si>
    <t>船</t>
    <phoneticPr fontId="8"/>
  </si>
  <si>
    <t>船（東京-利島）</t>
  </si>
  <si>
    <t>船（東京-式根島）</t>
  </si>
  <si>
    <t>船（東京-神津島）</t>
  </si>
  <si>
    <t>飛行機（東京-神津島）</t>
  </si>
  <si>
    <t>船（父島-母島）</t>
  </si>
  <si>
    <t>飛行機（東京-新島）</t>
  </si>
  <si>
    <t>20231106追加</t>
    <rPh sb="8" eb="10">
      <t>ツイカ</t>
    </rPh>
    <phoneticPr fontId="8"/>
  </si>
  <si>
    <t>ヘリ</t>
    <phoneticPr fontId="8"/>
  </si>
  <si>
    <t>東京-大島</t>
    <phoneticPr fontId="8"/>
  </si>
  <si>
    <t>八丈島-青ヶ島</t>
  </si>
  <si>
    <t>八丈島-御蔵島</t>
  </si>
  <si>
    <t>御蔵島-三宅島</t>
  </si>
  <si>
    <t>大島-三宅島</t>
  </si>
  <si>
    <t>ヘリ（八丈島-青ヶ島）</t>
  </si>
  <si>
    <t>ヘリ（八丈島-御蔵島）</t>
  </si>
  <si>
    <t>ヘリ（御蔵島-三宅島）</t>
  </si>
  <si>
    <t>ヘリ（大島-三宅島）</t>
  </si>
  <si>
    <t>ヘリ（大島-利島）</t>
  </si>
  <si>
    <t>船（東京-御蔵島）</t>
    <phoneticPr fontId="8"/>
  </si>
  <si>
    <t>１２歳以上の扶養親族全員の合計料金</t>
  </si>
  <si>
    <t>備考</t>
    <rPh sb="0" eb="2">
      <t>ビコウ</t>
    </rPh>
    <phoneticPr fontId="8"/>
  </si>
  <si>
    <t>１２歳未満の扶養親族全員の合計料金</t>
  </si>
  <si>
    <t>鉄道賃</t>
  </si>
  <si>
    <t>船賃</t>
  </si>
  <si>
    <t>航空賃</t>
  </si>
  <si>
    <t>車賃</t>
  </si>
  <si>
    <t>船（東京-新島）</t>
  </si>
  <si>
    <t>船（東京-御蔵島）</t>
  </si>
  <si>
    <t>区分</t>
    <rPh sb="0" eb="2">
      <t>クブン</t>
    </rPh>
    <phoneticPr fontId="8"/>
  </si>
  <si>
    <t>申　請　経　路　情　報（本人）</t>
    <rPh sb="0" eb="1">
      <t>シン</t>
    </rPh>
    <rPh sb="2" eb="3">
      <t>ショウ</t>
    </rPh>
    <rPh sb="4" eb="5">
      <t>ヘ</t>
    </rPh>
    <rPh sb="6" eb="7">
      <t>ミチ</t>
    </rPh>
    <rPh sb="8" eb="9">
      <t>ジョウ</t>
    </rPh>
    <rPh sb="10" eb="11">
      <t>ホウ</t>
    </rPh>
    <rPh sb="12" eb="14">
      <t>ホンニン</t>
    </rPh>
    <phoneticPr fontId="12"/>
  </si>
  <si>
    <t>新在勤庁住所</t>
    <rPh sb="0" eb="1">
      <t>シン</t>
    </rPh>
    <rPh sb="1" eb="3">
      <t>ザイキン</t>
    </rPh>
    <rPh sb="3" eb="4">
      <t>チョウ</t>
    </rPh>
    <rPh sb="4" eb="6">
      <t>ジュウショ</t>
    </rPh>
    <phoneticPr fontId="12"/>
  </si>
  <si>
    <t>都道府県</t>
    <rPh sb="0" eb="4">
      <t>トドウフケン</t>
    </rPh>
    <phoneticPr fontId="8"/>
  </si>
  <si>
    <t>市区町村</t>
    <rPh sb="0" eb="4">
      <t>シクチョウソン</t>
    </rPh>
    <phoneticPr fontId="8"/>
  </si>
  <si>
    <t>住所</t>
    <rPh sb="0" eb="2">
      <t>ジュウショ</t>
    </rPh>
    <phoneticPr fontId="8"/>
  </si>
  <si>
    <t>最寄り駅</t>
    <rPh sb="0" eb="2">
      <t>モヨ</t>
    </rPh>
    <rPh sb="3" eb="4">
      <t>エキ</t>
    </rPh>
    <phoneticPr fontId="8"/>
  </si>
  <si>
    <t>東京都23区内</t>
  </si>
  <si>
    <t>北海道</t>
  </si>
  <si>
    <t>青森県</t>
  </si>
  <si>
    <t>岩手県</t>
  </si>
  <si>
    <t>宮城県</t>
  </si>
  <si>
    <t>秋田県</t>
  </si>
  <si>
    <t>山形県</t>
  </si>
  <si>
    <t>福島県</t>
  </si>
  <si>
    <t>茨城県</t>
  </si>
  <si>
    <t>栃木県</t>
  </si>
  <si>
    <t>群馬県</t>
  </si>
  <si>
    <t>新潟県</t>
  </si>
  <si>
    <t>富山県</t>
  </si>
  <si>
    <t>石川県</t>
  </si>
  <si>
    <t>福井県</t>
  </si>
  <si>
    <t>山梨県</t>
  </si>
  <si>
    <t>長野県</t>
  </si>
  <si>
    <t>岐阜県</t>
  </si>
  <si>
    <t>静岡県</t>
  </si>
  <si>
    <t>三重県</t>
  </si>
  <si>
    <t>滋賀県</t>
  </si>
  <si>
    <t>奈良県</t>
  </si>
  <si>
    <t>和歌山県</t>
  </si>
  <si>
    <t>鳥取県</t>
  </si>
  <si>
    <t>島根県</t>
  </si>
  <si>
    <t>岡山県</t>
  </si>
  <si>
    <t>山口県</t>
  </si>
  <si>
    <t>徳島県</t>
  </si>
  <si>
    <t>香川県</t>
  </si>
  <si>
    <t>愛媛県</t>
  </si>
  <si>
    <t>高知県</t>
  </si>
  <si>
    <t>佐賀県</t>
  </si>
  <si>
    <t>長崎県</t>
  </si>
  <si>
    <t>熊本県</t>
  </si>
  <si>
    <t>大分県</t>
  </si>
  <si>
    <t>宮崎県</t>
  </si>
  <si>
    <t>鹿児島県</t>
  </si>
  <si>
    <t>沖縄県</t>
  </si>
  <si>
    <t>本人</t>
    <rPh sb="0" eb="2">
      <t>ホンニン</t>
    </rPh>
    <phoneticPr fontId="8"/>
  </si>
  <si>
    <t>1泊目</t>
    <rPh sb="1" eb="2">
      <t>ハク</t>
    </rPh>
    <rPh sb="2" eb="3">
      <t>メ</t>
    </rPh>
    <phoneticPr fontId="8"/>
  </si>
  <si>
    <t>2泊目</t>
    <rPh sb="1" eb="2">
      <t>ハク</t>
    </rPh>
    <rPh sb="2" eb="3">
      <t>メ</t>
    </rPh>
    <phoneticPr fontId="8"/>
  </si>
  <si>
    <t>埼玉県さいたま市</t>
  </si>
  <si>
    <t>千葉県千葉市</t>
  </si>
  <si>
    <t>神奈川県横浜市</t>
  </si>
  <si>
    <t>神奈川県川崎市</t>
  </si>
  <si>
    <t>神奈川県相模原市</t>
  </si>
  <si>
    <t>愛知県名古屋市</t>
  </si>
  <si>
    <t>京都府京都市</t>
  </si>
  <si>
    <t>大阪府大阪市</t>
  </si>
  <si>
    <t>大阪府堺市</t>
  </si>
  <si>
    <t>兵庫県神戸市</t>
  </si>
  <si>
    <t>福岡県福岡市</t>
  </si>
  <si>
    <t>広島県広島市</t>
  </si>
  <si>
    <t>３．発令日及び旅行日</t>
    <rPh sb="2" eb="4">
      <t>ハツレイ</t>
    </rPh>
    <rPh sb="4" eb="5">
      <t>ビ</t>
    </rPh>
    <rPh sb="5" eb="6">
      <t>オヨ</t>
    </rPh>
    <rPh sb="7" eb="9">
      <t>リョコウ</t>
    </rPh>
    <rPh sb="9" eb="10">
      <t>ビ</t>
    </rPh>
    <phoneticPr fontId="12"/>
  </si>
  <si>
    <t>発令年月日</t>
    <rPh sb="0" eb="2">
      <t>ハツレイ</t>
    </rPh>
    <rPh sb="2" eb="5">
      <t>ネンガッピ</t>
    </rPh>
    <phoneticPr fontId="12"/>
  </si>
  <si>
    <t>旅行年月日（開始日）</t>
    <rPh sb="0" eb="5">
      <t>リョコウネンガッピ</t>
    </rPh>
    <rPh sb="6" eb="9">
      <t>カイシヒ</t>
    </rPh>
    <phoneticPr fontId="8"/>
  </si>
  <si>
    <t>旅行年月日（終了日）</t>
    <rPh sb="0" eb="5">
      <t>リョコウネンガッピ</t>
    </rPh>
    <rPh sb="6" eb="9">
      <t>シュウリョウビ</t>
    </rPh>
    <phoneticPr fontId="8"/>
  </si>
  <si>
    <t>金額</t>
    <rPh sb="0" eb="2">
      <t>キンガク</t>
    </rPh>
    <phoneticPr fontId="8"/>
  </si>
  <si>
    <t>地域区分</t>
    <rPh sb="0" eb="4">
      <t>チイキクブン</t>
    </rPh>
    <phoneticPr fontId="8"/>
  </si>
  <si>
    <t>甲乙区分</t>
    <rPh sb="0" eb="2">
      <t>コウオツ</t>
    </rPh>
    <rPh sb="2" eb="4">
      <t>クブン</t>
    </rPh>
    <phoneticPr fontId="8"/>
  </si>
  <si>
    <t>有</t>
    <rPh sb="0" eb="1">
      <t>ア</t>
    </rPh>
    <phoneticPr fontId="8"/>
  </si>
  <si>
    <t>無</t>
    <rPh sb="0" eb="1">
      <t>ナ</t>
    </rPh>
    <phoneticPr fontId="8"/>
  </si>
  <si>
    <t>旅行時年休取得の有無</t>
  </si>
  <si>
    <t>都道府県マスタ</t>
    <rPh sb="0" eb="4">
      <t>トドウフケン</t>
    </rPh>
    <phoneticPr fontId="8"/>
  </si>
  <si>
    <t>【扶養親族　交通手段 大分類別 合計金額】</t>
    <rPh sb="1" eb="5">
      <t>フヨウシンゾク</t>
    </rPh>
    <rPh sb="6" eb="8">
      <t>コウツウ</t>
    </rPh>
    <rPh sb="8" eb="10">
      <t>シュダン</t>
    </rPh>
    <rPh sb="11" eb="12">
      <t>ダイ</t>
    </rPh>
    <rPh sb="12" eb="14">
      <t>ブンルイ</t>
    </rPh>
    <rPh sb="14" eb="15">
      <t>ベツ</t>
    </rPh>
    <rPh sb="16" eb="18">
      <t>ゴウケイ</t>
    </rPh>
    <rPh sb="18" eb="20">
      <t>キンガク</t>
    </rPh>
    <phoneticPr fontId="8"/>
  </si>
  <si>
    <t>【扶養親族　交通手段 小分類別 合計金額】</t>
    <rPh sb="1" eb="5">
      <t>フヨウシンゾク</t>
    </rPh>
    <rPh sb="6" eb="8">
      <t>コウツウ</t>
    </rPh>
    <rPh sb="8" eb="10">
      <t>シュダン</t>
    </rPh>
    <rPh sb="11" eb="12">
      <t>ショウ</t>
    </rPh>
    <rPh sb="12" eb="14">
      <t>ブンルイ</t>
    </rPh>
    <rPh sb="14" eb="15">
      <t>ベツ</t>
    </rPh>
    <rPh sb="16" eb="18">
      <t>ゴウケイ</t>
    </rPh>
    <rPh sb="18" eb="20">
      <t>キンガク</t>
    </rPh>
    <phoneticPr fontId="8"/>
  </si>
  <si>
    <t>合計金額</t>
    <rPh sb="0" eb="2">
      <t>ゴウケイ</t>
    </rPh>
    <rPh sb="2" eb="4">
      <t>キンガク</t>
    </rPh>
    <phoneticPr fontId="8"/>
  </si>
  <si>
    <t>島しょ</t>
    <rPh sb="0" eb="1">
      <t>シマ</t>
    </rPh>
    <phoneticPr fontId="8"/>
  </si>
  <si>
    <t>：プルダウンから選択</t>
    <rPh sb="8" eb="10">
      <t>センタク</t>
    </rPh>
    <phoneticPr fontId="8"/>
  </si>
  <si>
    <t>：直入力</t>
    <rPh sb="1" eb="2">
      <t>チョク</t>
    </rPh>
    <rPh sb="2" eb="4">
      <t>ニュウリョク</t>
    </rPh>
    <phoneticPr fontId="8"/>
  </si>
  <si>
    <t>：自動反映</t>
    <rPh sb="1" eb="5">
      <t>ジドウハンエイ</t>
    </rPh>
    <phoneticPr fontId="8"/>
  </si>
  <si>
    <t>https://www.jorudan.co.jp/norikae/</t>
    <phoneticPr fontId="12"/>
  </si>
  <si>
    <t xml:space="preserve">■経路検索結果入力方法
ＷＥＢの経路検索ソフトジョルダンを用いて実際の経路を検索し、検索結果より実際の経路を選択、WEB画面上の「テキスト」よりテキストを出力し以下の結果欄に貼り付けてください。
</t>
    <rPh sb="1" eb="7">
      <t>ケイロケンサクケッカ</t>
    </rPh>
    <rPh sb="7" eb="9">
      <t>ニュウリョク</t>
    </rPh>
    <rPh sb="9" eb="11">
      <t>ホウホウ</t>
    </rPh>
    <rPh sb="16" eb="20">
      <t>ケイロケンサク</t>
    </rPh>
    <rPh sb="29" eb="30">
      <t>モチ</t>
    </rPh>
    <rPh sb="32" eb="34">
      <t>ジッサイ</t>
    </rPh>
    <rPh sb="35" eb="37">
      <t>ケイロ</t>
    </rPh>
    <rPh sb="38" eb="40">
      <t>ケンサク</t>
    </rPh>
    <rPh sb="42" eb="46">
      <t>ケンサクケッカ</t>
    </rPh>
    <rPh sb="48" eb="50">
      <t>ジッサイ</t>
    </rPh>
    <rPh sb="51" eb="53">
      <t>ケイロ</t>
    </rPh>
    <rPh sb="54" eb="56">
      <t>センタク</t>
    </rPh>
    <rPh sb="60" eb="63">
      <t>ガメンジョウ</t>
    </rPh>
    <rPh sb="77" eb="79">
      <t>シュツリョク</t>
    </rPh>
    <rPh sb="80" eb="82">
      <t>イカ</t>
    </rPh>
    <rPh sb="83" eb="86">
      <t>ケッカラン</t>
    </rPh>
    <rPh sb="87" eb="88">
      <t>ハ</t>
    </rPh>
    <rPh sb="89" eb="90">
      <t>ツ</t>
    </rPh>
    <phoneticPr fontId="12"/>
  </si>
  <si>
    <t>※留意事項
悪天候等の理由から飛行機が引き返した、又は、港まで行ったものの船が欠航し翌日赴任となった等の事情から、宿泊を要する場合があります。この場合、港や空港等の折り返し地点から宿泊場所との間の旅行については、用務地と単なる宿泊場所との間の旅行となり、赴任旅費の支給対象になりません。（旅費の手引き2-29解説No6より）そのため、経路検索結果欄には、支給対象となる区間のみの経路を記載してください。
・ 出発地 －（経由駅）－ 空港もしくは港 － 到着地</t>
    <rPh sb="1" eb="5">
      <t>リュウイジコウ</t>
    </rPh>
    <rPh sb="6" eb="10">
      <t>アクテンコウトウ</t>
    </rPh>
    <rPh sb="11" eb="13">
      <t>リユウ</t>
    </rPh>
    <rPh sb="15" eb="18">
      <t>ヒコウキ</t>
    </rPh>
    <rPh sb="19" eb="20">
      <t>ヒ</t>
    </rPh>
    <rPh sb="21" eb="22">
      <t>カエ</t>
    </rPh>
    <rPh sb="25" eb="26">
      <t>マタ</t>
    </rPh>
    <rPh sb="28" eb="29">
      <t>ミナト</t>
    </rPh>
    <rPh sb="31" eb="32">
      <t>イ</t>
    </rPh>
    <rPh sb="37" eb="38">
      <t>フネ</t>
    </rPh>
    <rPh sb="39" eb="41">
      <t>ケッコウ</t>
    </rPh>
    <rPh sb="42" eb="44">
      <t>ヨクジツ</t>
    </rPh>
    <rPh sb="44" eb="46">
      <t>フニン</t>
    </rPh>
    <rPh sb="50" eb="51">
      <t>ナド</t>
    </rPh>
    <rPh sb="52" eb="54">
      <t>ジジョウ</t>
    </rPh>
    <rPh sb="57" eb="59">
      <t>シュクハク</t>
    </rPh>
    <rPh sb="60" eb="61">
      <t>ヨウ</t>
    </rPh>
    <rPh sb="63" eb="65">
      <t>バアイ</t>
    </rPh>
    <rPh sb="73" eb="75">
      <t>バアイ</t>
    </rPh>
    <rPh sb="76" eb="77">
      <t>ミナト</t>
    </rPh>
    <phoneticPr fontId="8"/>
  </si>
  <si>
    <t>鉄道以外の陸路</t>
    <rPh sb="0" eb="2">
      <t>テツドウ</t>
    </rPh>
    <rPh sb="2" eb="4">
      <t>イガイ</t>
    </rPh>
    <rPh sb="5" eb="7">
      <t>リクロ</t>
    </rPh>
    <phoneticPr fontId="8"/>
  </si>
  <si>
    <t>宿泊手当</t>
    <rPh sb="0" eb="4">
      <t>シュクハクテアテ</t>
    </rPh>
    <phoneticPr fontId="8"/>
  </si>
  <si>
    <t>着後滞在費</t>
    <rPh sb="0" eb="5">
      <t>チャクゴタイザイヒ</t>
    </rPh>
    <phoneticPr fontId="8"/>
  </si>
  <si>
    <t>５．家族状況</t>
    <rPh sb="2" eb="4">
      <t>カゾク</t>
    </rPh>
    <rPh sb="4" eb="6">
      <t>ジョウキョウ</t>
    </rPh>
    <phoneticPr fontId="12"/>
  </si>
  <si>
    <t>家族氏名</t>
    <rPh sb="0" eb="2">
      <t>カゾク</t>
    </rPh>
    <rPh sb="2" eb="4">
      <t>シメイ</t>
    </rPh>
    <phoneticPr fontId="8"/>
  </si>
  <si>
    <t>1泊目</t>
    <rPh sb="1" eb="3">
      <t>パクメ</t>
    </rPh>
    <phoneticPr fontId="8"/>
  </si>
  <si>
    <t>2泊目</t>
    <rPh sb="1" eb="3">
      <t>ハクメ</t>
    </rPh>
    <phoneticPr fontId="8"/>
  </si>
  <si>
    <t>3泊目</t>
    <rPh sb="1" eb="3">
      <t>ハクメ</t>
    </rPh>
    <phoneticPr fontId="8"/>
  </si>
  <si>
    <t>宿泊費</t>
    <rPh sb="0" eb="3">
      <t>シュクハクヒ</t>
    </rPh>
    <phoneticPr fontId="8"/>
  </si>
  <si>
    <t>実費額</t>
    <rPh sb="0" eb="3">
      <t>ジッピガク</t>
    </rPh>
    <phoneticPr fontId="8"/>
  </si>
  <si>
    <t>家族②</t>
    <rPh sb="0" eb="2">
      <t>カゾク</t>
    </rPh>
    <phoneticPr fontId="8"/>
  </si>
  <si>
    <t>家族③</t>
    <rPh sb="0" eb="2">
      <t>カゾク</t>
    </rPh>
    <phoneticPr fontId="8"/>
  </si>
  <si>
    <t>宿泊地</t>
    <rPh sb="0" eb="3">
      <t>シュクハクチ</t>
    </rPh>
    <phoneticPr fontId="8"/>
  </si>
  <si>
    <t>家族④</t>
    <rPh sb="0" eb="2">
      <t>カゾク</t>
    </rPh>
    <phoneticPr fontId="8"/>
  </si>
  <si>
    <t>4泊目</t>
    <rPh sb="1" eb="3">
      <t>ハクメ</t>
    </rPh>
    <phoneticPr fontId="8"/>
  </si>
  <si>
    <t>5泊目</t>
    <rPh sb="1" eb="3">
      <t>ハクメ</t>
    </rPh>
    <phoneticPr fontId="8"/>
  </si>
  <si>
    <t>家族⑤</t>
    <rPh sb="0" eb="2">
      <t>カゾク</t>
    </rPh>
    <phoneticPr fontId="8"/>
  </si>
  <si>
    <t>申　請　経　路　情　報（家族）</t>
    <rPh sb="0" eb="1">
      <t>シン</t>
    </rPh>
    <rPh sb="2" eb="3">
      <t>ショウ</t>
    </rPh>
    <rPh sb="4" eb="5">
      <t>ヘ</t>
    </rPh>
    <rPh sb="6" eb="7">
      <t>ミチ</t>
    </rPh>
    <rPh sb="8" eb="9">
      <t>ジョウ</t>
    </rPh>
    <rPh sb="10" eb="11">
      <t>ホウ</t>
    </rPh>
    <rPh sb="12" eb="14">
      <t>カゾク</t>
    </rPh>
    <phoneticPr fontId="12"/>
  </si>
  <si>
    <t>※発令年月日は、異動発令日であり、内示日ではありません。（例）2025年４月１日付異動の場合、2025年４月１日</t>
    <rPh sb="1" eb="3">
      <t>ハツレイ</t>
    </rPh>
    <rPh sb="3" eb="6">
      <t>ネンガッピ</t>
    </rPh>
    <rPh sb="8" eb="10">
      <t>イドウ</t>
    </rPh>
    <rPh sb="10" eb="12">
      <t>ハツレイ</t>
    </rPh>
    <rPh sb="12" eb="13">
      <t>ヒ</t>
    </rPh>
    <rPh sb="17" eb="19">
      <t>ナイジ</t>
    </rPh>
    <rPh sb="19" eb="20">
      <t>ヒ</t>
    </rPh>
    <rPh sb="29" eb="30">
      <t>レイ</t>
    </rPh>
    <rPh sb="35" eb="36">
      <t>ネン</t>
    </rPh>
    <rPh sb="37" eb="38">
      <t>ガツ</t>
    </rPh>
    <rPh sb="39" eb="41">
      <t>ニチヅケ</t>
    </rPh>
    <rPh sb="41" eb="43">
      <t>イドウ</t>
    </rPh>
    <rPh sb="44" eb="46">
      <t>バアイ</t>
    </rPh>
    <rPh sb="51" eb="52">
      <t>ネン</t>
    </rPh>
    <rPh sb="53" eb="54">
      <t>ガツ</t>
    </rPh>
    <rPh sb="55" eb="56">
      <t>ニチ</t>
    </rPh>
    <phoneticPr fontId="8"/>
  </si>
  <si>
    <t>いあ</t>
    <phoneticPr fontId="8"/>
  </si>
  <si>
    <t>運賃</t>
    <rPh sb="0" eb="2">
      <t>ウンチン</t>
    </rPh>
    <phoneticPr fontId="12"/>
  </si>
  <si>
    <t>急行料金</t>
    <rPh sb="0" eb="4">
      <t>キュウコウリョウキン</t>
    </rPh>
    <phoneticPr fontId="12"/>
  </si>
  <si>
    <t>家族①</t>
    <rPh sb="0" eb="2">
      <t>カゾク</t>
    </rPh>
    <phoneticPr fontId="8"/>
  </si>
  <si>
    <t>家族の移転経路</t>
    <rPh sb="0" eb="2">
      <t>カゾク</t>
    </rPh>
    <rPh sb="3" eb="5">
      <t>イテン</t>
    </rPh>
    <rPh sb="5" eb="7">
      <t>ケイロ</t>
    </rPh>
    <phoneticPr fontId="12"/>
  </si>
  <si>
    <t>寝台料金</t>
    <rPh sb="0" eb="2">
      <t>シンダイ</t>
    </rPh>
    <rPh sb="2" eb="4">
      <t>リョウキン</t>
    </rPh>
    <phoneticPr fontId="12"/>
  </si>
  <si>
    <t>その他
（施設利用料等）</t>
    <rPh sb="2" eb="3">
      <t>タ</t>
    </rPh>
    <rPh sb="5" eb="11">
      <t>シセツリヨウリョウトウ</t>
    </rPh>
    <phoneticPr fontId="12"/>
  </si>
  <si>
    <t>・家族の旅費申請を行う場合に入力してください。</t>
    <phoneticPr fontId="8"/>
  </si>
  <si>
    <t>・発令日時点に同居する家族が支給対象です。</t>
    <phoneticPr fontId="8"/>
  </si>
  <si>
    <t>・職員住宅や民間住宅の退去、荷物の到着等の関係で宿泊施設に宿泊した場合は、「８．着後滞在費」に入力してください。</t>
    <rPh sb="1" eb="5">
      <t>ショクインジュウタク</t>
    </rPh>
    <rPh sb="6" eb="10">
      <t>ミンカンジュウタク</t>
    </rPh>
    <rPh sb="11" eb="13">
      <t>タイキョ</t>
    </rPh>
    <rPh sb="14" eb="16">
      <t>ニモツ</t>
    </rPh>
    <rPh sb="17" eb="20">
      <t>トウチャクトウ</t>
    </rPh>
    <rPh sb="21" eb="23">
      <t>カンケイ</t>
    </rPh>
    <rPh sb="24" eb="28">
      <t>シュクハクシセツ</t>
    </rPh>
    <rPh sb="29" eb="31">
      <t>シュクハク</t>
    </rPh>
    <rPh sb="33" eb="35">
      <t>バアイ</t>
    </rPh>
    <rPh sb="40" eb="45">
      <t>チャクゴタイザイヒ</t>
    </rPh>
    <rPh sb="47" eb="49">
      <t>ニュウリョク</t>
    </rPh>
    <phoneticPr fontId="8"/>
  </si>
  <si>
    <t>本人</t>
    <phoneticPr fontId="8"/>
  </si>
  <si>
    <t>7．宿泊手当</t>
    <rPh sb="2" eb="6">
      <t>シュクハクテアテ</t>
    </rPh>
    <phoneticPr fontId="8"/>
  </si>
  <si>
    <t>8．着後滞在費</t>
    <rPh sb="2" eb="7">
      <t>チャクゴタイザイヒ</t>
    </rPh>
    <phoneticPr fontId="8"/>
  </si>
  <si>
    <t>・職員住宅や民間住宅の退去、荷物の到着等の関係で宿泊施設に宿泊した場合に入力してください。</t>
    <phoneticPr fontId="8"/>
  </si>
  <si>
    <t>・朝食又は夕食に係る費用に相当するものが宿泊費に含まれる場合等は、減額して支給されます。（宿泊手当　定額：2,400円　1泊1食付き：1,600円　1泊2食付き：800円）</t>
    <rPh sb="1" eb="3">
      <t>チョウショク</t>
    </rPh>
    <rPh sb="3" eb="4">
      <t>マタ</t>
    </rPh>
    <rPh sb="5" eb="7">
      <t>ユウショク</t>
    </rPh>
    <rPh sb="8" eb="9">
      <t>カカ</t>
    </rPh>
    <rPh sb="10" eb="12">
      <t>ヒヨウ</t>
    </rPh>
    <rPh sb="13" eb="15">
      <t>ソウトウ</t>
    </rPh>
    <rPh sb="20" eb="22">
      <t>シュクハク</t>
    </rPh>
    <rPh sb="22" eb="23">
      <t>ヒ</t>
    </rPh>
    <rPh sb="24" eb="25">
      <t>フク</t>
    </rPh>
    <rPh sb="28" eb="30">
      <t>バアイ</t>
    </rPh>
    <rPh sb="30" eb="31">
      <t>トウ</t>
    </rPh>
    <rPh sb="33" eb="35">
      <t>ゲンガク</t>
    </rPh>
    <rPh sb="37" eb="39">
      <t>シキュウ</t>
    </rPh>
    <rPh sb="45" eb="49">
      <t>シュクハクテアテ</t>
    </rPh>
    <rPh sb="50" eb="52">
      <t>テイガク</t>
    </rPh>
    <rPh sb="58" eb="59">
      <t>エン</t>
    </rPh>
    <rPh sb="61" eb="62">
      <t>パク</t>
    </rPh>
    <rPh sb="63" eb="65">
      <t>ショクツ</t>
    </rPh>
    <rPh sb="72" eb="73">
      <t>エン</t>
    </rPh>
    <rPh sb="75" eb="76">
      <t>パク</t>
    </rPh>
    <rPh sb="77" eb="79">
      <t>ショクツ</t>
    </rPh>
    <rPh sb="84" eb="85">
      <t>エン</t>
    </rPh>
    <phoneticPr fontId="8"/>
  </si>
  <si>
    <t>宿泊費又は包括宿泊費</t>
    <rPh sb="0" eb="3">
      <t>シュクハクヒ</t>
    </rPh>
    <rPh sb="3" eb="4">
      <t>マタ</t>
    </rPh>
    <rPh sb="5" eb="7">
      <t>ホウカツ</t>
    </rPh>
    <rPh sb="7" eb="10">
      <t>シュクハクヒ</t>
    </rPh>
    <phoneticPr fontId="8"/>
  </si>
  <si>
    <r>
      <t>9．備考　</t>
    </r>
    <r>
      <rPr>
        <b/>
        <sz val="11"/>
        <rFont val="Meiryo UI"/>
        <family val="3"/>
        <charset val="128"/>
      </rPr>
      <t>※「請求内訳書」備考欄に記載すべき事項を記載してください。</t>
    </r>
    <rPh sb="2" eb="4">
      <t>ビコウ</t>
    </rPh>
    <phoneticPr fontId="12"/>
  </si>
  <si>
    <r>
      <t>・申請に当たっては別途</t>
    </r>
    <r>
      <rPr>
        <u/>
        <sz val="11"/>
        <color theme="1"/>
        <rFont val="Meiryo UI"/>
        <family val="3"/>
        <charset val="128"/>
      </rPr>
      <t>住民票（発行日が発令日以降のもの）の提出が必要</t>
    </r>
    <r>
      <rPr>
        <sz val="11"/>
        <color theme="1"/>
        <rFont val="Meiryo UI"/>
        <family val="3"/>
        <charset val="128"/>
      </rPr>
      <t>です。</t>
    </r>
    <rPh sb="1" eb="3">
      <t>シンセイ</t>
    </rPh>
    <rPh sb="4" eb="5">
      <t>ア</t>
    </rPh>
    <rPh sb="15" eb="18">
      <t>ハッコウビ</t>
    </rPh>
    <rPh sb="19" eb="24">
      <t>ハツレイビイコウ</t>
    </rPh>
    <phoneticPr fontId="8"/>
  </si>
  <si>
    <t>・旅行命令にない宿泊は着後滞在費の支出対象となりません。</t>
    <rPh sb="11" eb="16">
      <t>チャクゴタイザイヒ</t>
    </rPh>
    <phoneticPr fontId="8"/>
  </si>
  <si>
    <t>家族⑤</t>
    <phoneticPr fontId="8"/>
  </si>
  <si>
    <t>家族①</t>
  </si>
  <si>
    <r>
      <t>・船や飛行機の欠航等</t>
    </r>
    <r>
      <rPr>
        <b/>
        <u/>
        <sz val="11"/>
        <color rgb="FFFF0000"/>
        <rFont val="Meiryo UI"/>
        <family val="3"/>
        <charset val="128"/>
      </rPr>
      <t>やむを得ない事情</t>
    </r>
    <r>
      <rPr>
        <sz val="11"/>
        <color theme="1"/>
        <rFont val="Meiryo UI"/>
        <family val="3"/>
        <charset val="128"/>
      </rPr>
      <t>により移動中に宿泊を要した場合に入力してください。なお、旅行命令にない宿泊は宿泊費の支出対象となりません。</t>
    </r>
    <rPh sb="28" eb="29">
      <t>ヨウ</t>
    </rPh>
    <rPh sb="31" eb="33">
      <t>バアイ</t>
    </rPh>
    <rPh sb="34" eb="36">
      <t>ニュウリョク</t>
    </rPh>
    <rPh sb="56" eb="59">
      <t>シュクハクヒ</t>
    </rPh>
    <phoneticPr fontId="8"/>
  </si>
  <si>
    <r>
      <t>6．宿泊費又は包括宿泊費　</t>
    </r>
    <r>
      <rPr>
        <b/>
        <u/>
        <sz val="11"/>
        <color rgb="FFFF0000"/>
        <rFont val="Meiryo UI"/>
        <family val="3"/>
        <charset val="128"/>
      </rPr>
      <t>※職員住宅や民間住宅の退去、荷物の到着等の関係で宿泊施設に宿泊した場合は、「８．着後滞在費」に入力してください。</t>
    </r>
    <rPh sb="2" eb="5">
      <t>シュクハクヒ</t>
    </rPh>
    <rPh sb="5" eb="6">
      <t>マタ</t>
    </rPh>
    <rPh sb="7" eb="12">
      <t>ホウカツシュクハクヒ</t>
    </rPh>
    <phoneticPr fontId="12"/>
  </si>
  <si>
    <t>座席指定料金</t>
    <rPh sb="0" eb="6">
      <t>ザセキシテイリョウキン</t>
    </rPh>
    <phoneticPr fontId="12"/>
  </si>
  <si>
    <t>鉄道</t>
    <phoneticPr fontId="8"/>
  </si>
  <si>
    <t>飛行機</t>
    <rPh sb="0" eb="3">
      <t>ヒコウキ</t>
    </rPh>
    <phoneticPr fontId="8"/>
  </si>
  <si>
    <r>
      <rPr>
        <sz val="11"/>
        <color theme="1"/>
        <rFont val="Meiryo UI"/>
        <family val="3"/>
        <charset val="128"/>
      </rPr>
      <t>旧在勤庁名　</t>
    </r>
    <r>
      <rPr>
        <b/>
        <sz val="11"/>
        <color theme="1"/>
        <rFont val="Meiryo UI"/>
        <family val="3"/>
        <charset val="128"/>
      </rPr>
      <t>※新規採用職員の場合は、「新規採用」と入力してください。</t>
    </r>
    <phoneticPr fontId="12"/>
  </si>
  <si>
    <t>家族の移転経路を、上記入力方法にならって貼付してください。</t>
    <phoneticPr fontId="12"/>
  </si>
  <si>
    <t>１回目の申請（転居費を除く先行支給）</t>
    <phoneticPr fontId="8"/>
  </si>
  <si>
    <t>指定要員（災害対策職員住宅）の転居費の申請</t>
    <rPh sb="15" eb="18">
      <t>テンキョヒ</t>
    </rPh>
    <phoneticPr fontId="8"/>
  </si>
  <si>
    <t>・「実費額」の入力について、領収書に食事代が明記されている場合は、食事代を除いた金額を入力してください。</t>
    <rPh sb="2" eb="5">
      <t>ジッピガク</t>
    </rPh>
    <rPh sb="7" eb="9">
      <t>ニュウリョク</t>
    </rPh>
    <rPh sb="14" eb="17">
      <t>リョウシュウショ</t>
    </rPh>
    <rPh sb="18" eb="21">
      <t>ショクジダイ</t>
    </rPh>
    <rPh sb="22" eb="24">
      <t>メイキ</t>
    </rPh>
    <rPh sb="29" eb="31">
      <t>バアイ</t>
    </rPh>
    <rPh sb="33" eb="36">
      <t>ショクジダイ</t>
    </rPh>
    <rPh sb="37" eb="38">
      <t>ノゾ</t>
    </rPh>
    <rPh sb="40" eb="42">
      <t>キンガク</t>
    </rPh>
    <rPh sb="43" eb="45">
      <t>ニュウリョク</t>
    </rPh>
    <phoneticPr fontId="8"/>
  </si>
  <si>
    <t>家族④</t>
    <phoneticPr fontId="8"/>
  </si>
  <si>
    <t>・一夜にまたがる夜間の船舶旅行（小笠原や三宅島等）を行った場合や船の欠航等で宿泊を要した場合に支給対象となります。</t>
    <rPh sb="1" eb="3">
      <t>イチヤ</t>
    </rPh>
    <rPh sb="8" eb="10">
      <t>ヤカン</t>
    </rPh>
    <rPh sb="11" eb="13">
      <t>センパク</t>
    </rPh>
    <rPh sb="13" eb="15">
      <t>リョコウ</t>
    </rPh>
    <rPh sb="16" eb="19">
      <t>オガサワラ</t>
    </rPh>
    <rPh sb="20" eb="22">
      <t>ミヤケ</t>
    </rPh>
    <rPh sb="22" eb="23">
      <t>ジマ</t>
    </rPh>
    <rPh sb="23" eb="24">
      <t>トウ</t>
    </rPh>
    <rPh sb="26" eb="27">
      <t>オコナ</t>
    </rPh>
    <rPh sb="29" eb="31">
      <t>バアイ</t>
    </rPh>
    <rPh sb="44" eb="46">
      <t>バアイ</t>
    </rPh>
    <rPh sb="47" eb="49">
      <t>シキュウ</t>
    </rPh>
    <rPh sb="49" eb="51">
      <t>タイショウ</t>
    </rPh>
    <phoneticPr fontId="8"/>
  </si>
  <si>
    <t>一夜にまたがる夜間の船舶旅行
（小笠原や三宅島等）を行った
※該当する場合は「〇」を入力</t>
    <rPh sb="31" eb="33">
      <t>ガイトウ</t>
    </rPh>
    <rPh sb="35" eb="37">
      <t>バアイ</t>
    </rPh>
    <rPh sb="42" eb="44">
      <t>ニュウリョク</t>
    </rPh>
    <phoneticPr fontId="8"/>
  </si>
  <si>
    <t>該当有無</t>
    <rPh sb="0" eb="4">
      <t>ガイトウウム</t>
    </rPh>
    <phoneticPr fontId="8"/>
  </si>
  <si>
    <t>船の欠航等で宿泊を要した</t>
    <phoneticPr fontId="8"/>
  </si>
  <si>
    <t>旅行日</t>
    <rPh sb="0" eb="3">
      <t>リョコウヒ</t>
    </rPh>
    <phoneticPr fontId="8"/>
  </si>
  <si>
    <t>食事</t>
    <phoneticPr fontId="8"/>
  </si>
  <si>
    <t>・なお、食事代が領収書等からわかる場合は、宿泊費から食事代を控除して支給されます。</t>
    <rPh sb="4" eb="7">
      <t>ショクジダイ</t>
    </rPh>
    <rPh sb="8" eb="11">
      <t>リョウシュウショ</t>
    </rPh>
    <rPh sb="11" eb="12">
      <t>トウ</t>
    </rPh>
    <rPh sb="17" eb="19">
      <t>バアイ</t>
    </rPh>
    <rPh sb="21" eb="24">
      <t>シュクハクヒ</t>
    </rPh>
    <rPh sb="26" eb="29">
      <t>ショクジダイ</t>
    </rPh>
    <rPh sb="30" eb="32">
      <t>コウジョ</t>
    </rPh>
    <rPh sb="34" eb="36">
      <t>シキュウ</t>
    </rPh>
    <phoneticPr fontId="8"/>
  </si>
  <si>
    <t>食事</t>
    <rPh sb="0" eb="2">
      <t>ショクジ</t>
    </rPh>
    <phoneticPr fontId="8"/>
  </si>
  <si>
    <t>朝食・夕食あり</t>
  </si>
  <si>
    <t>食事代の実費がわかる</t>
  </si>
  <si>
    <t>なし（自宅宿泊）</t>
  </si>
  <si>
    <t>朝食のみあり</t>
  </si>
  <si>
    <t>夕食のみあり</t>
  </si>
  <si>
    <t>食事金額残</t>
    <rPh sb="0" eb="4">
      <t>ショクジキンガク</t>
    </rPh>
    <rPh sb="4" eb="5">
      <t>ザン</t>
    </rPh>
    <phoneticPr fontId="8"/>
  </si>
  <si>
    <t>朝食・夕食なし</t>
  </si>
  <si>
    <t>上限金額</t>
    <rPh sb="0" eb="4">
      <t>ジョウゲンキンガク</t>
    </rPh>
    <phoneticPr fontId="8"/>
  </si>
  <si>
    <t>宿泊地反映</t>
    <rPh sb="0" eb="3">
      <t>シュクハクチ</t>
    </rPh>
    <rPh sb="3" eb="5">
      <t>ハンエイ</t>
    </rPh>
    <phoneticPr fontId="8"/>
  </si>
  <si>
    <t>人　員</t>
  </si>
  <si>
    <t>船賃</t>
    <rPh sb="0" eb="2">
      <t>フナチン</t>
    </rPh>
    <phoneticPr fontId="12"/>
  </si>
  <si>
    <t>航空賃</t>
    <rPh sb="0" eb="2">
      <t>コウクウ</t>
    </rPh>
    <rPh sb="2" eb="3">
      <t>チン</t>
    </rPh>
    <phoneticPr fontId="12"/>
  </si>
  <si>
    <t>その他の交通費</t>
    <rPh sb="2" eb="3">
      <t>タ</t>
    </rPh>
    <rPh sb="4" eb="7">
      <t>コウツウヒ</t>
    </rPh>
    <phoneticPr fontId="12"/>
  </si>
  <si>
    <t>宿泊費又は包括宿泊費</t>
    <rPh sb="0" eb="2">
      <t>シュクハク</t>
    </rPh>
    <rPh sb="2" eb="3">
      <t>ヒ</t>
    </rPh>
    <rPh sb="3" eb="4">
      <t>マタ</t>
    </rPh>
    <rPh sb="5" eb="7">
      <t>ホウカツ</t>
    </rPh>
    <rPh sb="7" eb="9">
      <t>シュクハク</t>
    </rPh>
    <rPh sb="9" eb="10">
      <t>ヒ</t>
    </rPh>
    <phoneticPr fontId="12"/>
  </si>
  <si>
    <t>宿泊手当</t>
    <rPh sb="0" eb="2">
      <t>シュクハク</t>
    </rPh>
    <rPh sb="2" eb="4">
      <t>テアテ</t>
    </rPh>
    <phoneticPr fontId="12"/>
  </si>
  <si>
    <t>着後滞在費</t>
    <rPh sb="0" eb="2">
      <t>チャクゴ</t>
    </rPh>
    <rPh sb="2" eb="5">
      <t>タイザイヒ</t>
    </rPh>
    <phoneticPr fontId="12"/>
  </si>
  <si>
    <t>合計額</t>
  </si>
  <si>
    <t>人</t>
  </si>
  <si>
    <t>円</t>
  </si>
  <si>
    <t>各費用の内訳</t>
    <rPh sb="0" eb="3">
      <t>カクヒヨウ</t>
    </rPh>
    <rPh sb="4" eb="6">
      <t>ウチワケ</t>
    </rPh>
    <phoneticPr fontId="12"/>
  </si>
  <si>
    <t>　　　　　　　　　　　　　　　赴任等旅費請求内訳書兼領収書　</t>
    <phoneticPr fontId="12"/>
  </si>
  <si>
    <t>（令和</t>
    <rPh sb="1" eb="3">
      <t>レイワ</t>
    </rPh>
    <phoneticPr fontId="8"/>
  </si>
  <si>
    <t>年　</t>
    <phoneticPr fontId="8"/>
  </si>
  <si>
    <t>月分）</t>
  </si>
  <si>
    <t>旅行命令簿照合</t>
    <phoneticPr fontId="12"/>
  </si>
  <si>
    <t xml:space="preserve">                                                   　　　　　　　　　　　　       （　内　国　用　）</t>
    <phoneticPr fontId="12"/>
  </si>
  <si>
    <t xml:space="preserve">           </t>
    <phoneticPr fontId="12"/>
  </si>
  <si>
    <t>概　算　額　</t>
  </si>
  <si>
    <t>精　算　額</t>
  </si>
  <si>
    <t>追給額</t>
    <rPh sb="0" eb="2">
      <t>ツイキュウ</t>
    </rPh>
    <rPh sb="2" eb="3">
      <t>ガク</t>
    </rPh>
    <phoneticPr fontId="12"/>
  </si>
  <si>
    <t>返納額</t>
    <rPh sb="0" eb="2">
      <t>ヘンノウ</t>
    </rPh>
    <rPh sb="2" eb="3">
      <t>ガク</t>
    </rPh>
    <phoneticPr fontId="12"/>
  </si>
  <si>
    <t>職層名</t>
    <rPh sb="0" eb="1">
      <t>ショク</t>
    </rPh>
    <rPh sb="1" eb="2">
      <t>ソウ</t>
    </rPh>
    <rPh sb="2" eb="3">
      <t>メイ</t>
    </rPh>
    <phoneticPr fontId="12"/>
  </si>
  <si>
    <t>級</t>
    <rPh sb="0" eb="1">
      <t>キュウ</t>
    </rPh>
    <phoneticPr fontId="12"/>
  </si>
  <si>
    <t>受領</t>
    <rPh sb="0" eb="2">
      <t>ジュリョウ</t>
    </rPh>
    <phoneticPr fontId="12"/>
  </si>
  <si>
    <t>精算</t>
    <rPh sb="0" eb="2">
      <t>セイサン</t>
    </rPh>
    <phoneticPr fontId="12"/>
  </si>
  <si>
    <t>年月日</t>
    <rPh sb="1" eb="3">
      <t>ツキヒ</t>
    </rPh>
    <phoneticPr fontId="12"/>
  </si>
  <si>
    <t>出　　　発</t>
    <phoneticPr fontId="12"/>
  </si>
  <si>
    <t>到 着 滞 在</t>
  </si>
  <si>
    <t>旅　　　　　　　　　費　　　　　　　　　　内　　　　　　　　　　訳</t>
  </si>
  <si>
    <t>鉄　　　道　　　賃</t>
  </si>
  <si>
    <t>船賃又は航空賃</t>
    <rPh sb="4" eb="6">
      <t>コウクウ</t>
    </rPh>
    <rPh sb="6" eb="7">
      <t>チン</t>
    </rPh>
    <phoneticPr fontId="12"/>
  </si>
  <si>
    <t>宿泊費又は
包括宿泊費　</t>
    <rPh sb="0" eb="2">
      <t>シュクハク</t>
    </rPh>
    <rPh sb="2" eb="3">
      <t>ヒ</t>
    </rPh>
    <rPh sb="3" eb="4">
      <t>マタ</t>
    </rPh>
    <rPh sb="6" eb="8">
      <t>ホウカツ</t>
    </rPh>
    <rPh sb="8" eb="10">
      <t>シュクハク</t>
    </rPh>
    <rPh sb="10" eb="11">
      <t>ヒ</t>
    </rPh>
    <phoneticPr fontId="12"/>
  </si>
  <si>
    <t>転居費及び着後滞在費</t>
    <rPh sb="0" eb="2">
      <t>テンキョ</t>
    </rPh>
    <rPh sb="2" eb="3">
      <t>ヒ</t>
    </rPh>
    <rPh sb="5" eb="7">
      <t>チャクゴ</t>
    </rPh>
    <rPh sb="7" eb="10">
      <t>タイザイヒ</t>
    </rPh>
    <phoneticPr fontId="12"/>
  </si>
  <si>
    <t>合　　計</t>
  </si>
  <si>
    <t>運　　　賃</t>
  </si>
  <si>
    <t>急行料金</t>
  </si>
  <si>
    <t>寝台料金又は
座席指定料金又は
特別船室料金等</t>
    <rPh sb="18" eb="20">
      <t>センシツ</t>
    </rPh>
    <phoneticPr fontId="12"/>
  </si>
  <si>
    <t>(</t>
  </si>
  <si>
    <t>地　名</t>
  </si>
  <si>
    <t>)</t>
  </si>
  <si>
    <t>駅　名</t>
  </si>
  <si>
    <t>都道府県</t>
  </si>
  <si>
    <t>夜数</t>
    <phoneticPr fontId="8"/>
  </si>
  <si>
    <t>（</t>
    <phoneticPr fontId="12"/>
  </si>
  <si>
    <t>K</t>
    <phoneticPr fontId="12"/>
  </si>
  <si>
    <t>）</t>
    <phoneticPr fontId="12"/>
  </si>
  <si>
    <t>夜</t>
  </si>
  <si>
    <t>夜</t>
    <rPh sb="0" eb="1">
      <t>ヨル</t>
    </rPh>
    <phoneticPr fontId="12"/>
  </si>
  <si>
    <t>転居費</t>
    <rPh sb="0" eb="1">
      <t>テン</t>
    </rPh>
    <rPh sb="1" eb="2">
      <t>イ</t>
    </rPh>
    <rPh sb="2" eb="3">
      <t>ヒ</t>
    </rPh>
    <phoneticPr fontId="12"/>
  </si>
  <si>
    <t>　（実費額）</t>
    <phoneticPr fontId="12"/>
  </si>
  <si>
    <t>　（既給額）</t>
    <phoneticPr fontId="12"/>
  </si>
  <si>
    <t>備　　考</t>
  </si>
  <si>
    <t>　（差引額）</t>
    <phoneticPr fontId="12"/>
  </si>
  <si>
    <t>（宿泊費又は包括宿泊費）</t>
    <rPh sb="1" eb="4">
      <t>シュクハクヒ</t>
    </rPh>
    <rPh sb="4" eb="5">
      <t>マタ</t>
    </rPh>
    <rPh sb="6" eb="8">
      <t>ホウカツ</t>
    </rPh>
    <rPh sb="8" eb="10">
      <t>シュクハク</t>
    </rPh>
    <rPh sb="10" eb="11">
      <t>ヒ</t>
    </rPh>
    <phoneticPr fontId="12"/>
  </si>
  <si>
    <t>都道府県</t>
    <rPh sb="0" eb="4">
      <t>トドウフケン</t>
    </rPh>
    <phoneticPr fontId="12"/>
  </si>
  <si>
    <t>夜数</t>
    <rPh sb="0" eb="1">
      <t>ヨル</t>
    </rPh>
    <rPh sb="1" eb="2">
      <t>スウ</t>
    </rPh>
    <phoneticPr fontId="12"/>
  </si>
  <si>
    <t>（宿泊手当）</t>
    <rPh sb="3" eb="5">
      <t>テアテ</t>
    </rPh>
    <phoneticPr fontId="12"/>
  </si>
  <si>
    <t>　（　計　）</t>
  </si>
  <si>
    <t>　　　※　使途に従い必要な欄のみ記入すること。</t>
  </si>
  <si>
    <r>
      <t xml:space="preserve">その他の交通費
</t>
    </r>
    <r>
      <rPr>
        <sz val="9"/>
        <rFont val="ＭＳ Ｐゴシック"/>
        <family val="3"/>
        <charset val="128"/>
        <scheme val="minor"/>
      </rPr>
      <t>（定額支給時の路程）</t>
    </r>
    <r>
      <rPr>
        <sz val="11"/>
        <rFont val="ＭＳ Ｐゴシック"/>
        <family val="3"/>
        <charset val="128"/>
      </rPr>
      <t xml:space="preserve">
運賃等</t>
    </r>
    <rPh sb="2" eb="3">
      <t>タ</t>
    </rPh>
    <rPh sb="4" eb="7">
      <t>コウツウヒ</t>
    </rPh>
    <rPh sb="9" eb="11">
      <t>テイガク</t>
    </rPh>
    <rPh sb="11" eb="13">
      <t>シキュウ</t>
    </rPh>
    <rPh sb="13" eb="14">
      <t>ジ</t>
    </rPh>
    <rPh sb="15" eb="17">
      <t>ロテイ</t>
    </rPh>
    <rPh sb="19" eb="21">
      <t>ウンチン</t>
    </rPh>
    <rPh sb="21" eb="22">
      <t>トウ</t>
    </rPh>
    <phoneticPr fontId="12"/>
  </si>
  <si>
    <t>寝</t>
    <phoneticPr fontId="12"/>
  </si>
  <si>
    <t>座</t>
    <phoneticPr fontId="8"/>
  </si>
  <si>
    <t>特</t>
    <phoneticPr fontId="8"/>
  </si>
  <si>
    <t>付随</t>
    <phoneticPr fontId="8"/>
  </si>
  <si>
    <t>特別車両又は</t>
    <phoneticPr fontId="8"/>
  </si>
  <si>
    <t>座席指定又は</t>
    <phoneticPr fontId="8"/>
  </si>
  <si>
    <t>寝台料金</t>
    <phoneticPr fontId="8"/>
  </si>
  <si>
    <t>航</t>
  </si>
  <si>
    <t>航</t>
    <phoneticPr fontId="12"/>
  </si>
  <si>
    <t>船</t>
    <phoneticPr fontId="8"/>
  </si>
  <si>
    <t>寝</t>
  </si>
  <si>
    <t>座</t>
  </si>
  <si>
    <t>座</t>
    <phoneticPr fontId="8"/>
  </si>
  <si>
    <t>特</t>
  </si>
  <si>
    <t>特</t>
    <phoneticPr fontId="8"/>
  </si>
  <si>
    <t>付随</t>
  </si>
  <si>
    <t>付随</t>
    <phoneticPr fontId="8"/>
  </si>
  <si>
    <t>　　　※　島しょにおける退職者の旅費を請求する場合には、「宿泊費又は包括宿泊費」、「宿泊手当」、「着後滞在費」の各欄を斜線により抹消すること。</t>
    <phoneticPr fontId="12"/>
  </si>
  <si>
    <t>特別車両/
特別船室料金等</t>
    <rPh sb="0" eb="2">
      <t>トクベツ</t>
    </rPh>
    <rPh sb="2" eb="4">
      <t>シャリョウ</t>
    </rPh>
    <rPh sb="6" eb="8">
      <t>トクベツ</t>
    </rPh>
    <rPh sb="8" eb="10">
      <t>センシツ</t>
    </rPh>
    <rPh sb="10" eb="12">
      <t>リョウキン</t>
    </rPh>
    <rPh sb="12" eb="13">
      <t>トウ</t>
    </rPh>
    <phoneticPr fontId="12"/>
  </si>
  <si>
    <t>食事代の実費がわかる場合は、宿泊費から食事代を控除した金額を「実費額」に入力してください。</t>
  </si>
  <si>
    <t>宿泊費又は包括宿泊費</t>
    <rPh sb="0" eb="4">
      <t>シュクハクヒマタ</t>
    </rPh>
    <rPh sb="5" eb="7">
      <t>ホウカツ</t>
    </rPh>
    <rPh sb="7" eb="10">
      <t>シュクハクヒ</t>
    </rPh>
    <phoneticPr fontId="8"/>
  </si>
  <si>
    <t>F64</t>
  </si>
  <si>
    <t>F65</t>
  </si>
  <si>
    <t>L64</t>
  </si>
  <si>
    <t>L65</t>
  </si>
  <si>
    <t>R64</t>
  </si>
  <si>
    <t>R65</t>
  </si>
  <si>
    <t>F68</t>
  </si>
  <si>
    <t>F69</t>
  </si>
  <si>
    <t>L68</t>
  </si>
  <si>
    <t>L69</t>
  </si>
  <si>
    <t>R68</t>
  </si>
  <si>
    <t>R69</t>
  </si>
  <si>
    <t>F100</t>
  </si>
  <si>
    <t>F101</t>
  </si>
  <si>
    <t>F102</t>
  </si>
  <si>
    <t>F103</t>
  </si>
  <si>
    <t>F104</t>
  </si>
  <si>
    <t>N100</t>
  </si>
  <si>
    <t>N101</t>
  </si>
  <si>
    <t>N102</t>
  </si>
  <si>
    <t>N103</t>
  </si>
  <si>
    <t>N104</t>
  </si>
  <si>
    <t>V100</t>
  </si>
  <si>
    <t>V101</t>
  </si>
  <si>
    <t>V102</t>
  </si>
  <si>
    <t>V103</t>
  </si>
  <si>
    <t>V104</t>
  </si>
  <si>
    <t>F108</t>
  </si>
  <si>
    <t>F109</t>
  </si>
  <si>
    <t>F110</t>
  </si>
  <si>
    <t>F111</t>
  </si>
  <si>
    <t>F112</t>
  </si>
  <si>
    <t>N108</t>
  </si>
  <si>
    <t>N109</t>
  </si>
  <si>
    <t>N110</t>
  </si>
  <si>
    <t>N111</t>
  </si>
  <si>
    <t>N112</t>
  </si>
  <si>
    <t>V108</t>
  </si>
  <si>
    <t>V109</t>
  </si>
  <si>
    <t>V110</t>
  </si>
  <si>
    <t>V111</t>
  </si>
  <si>
    <t>V112</t>
  </si>
  <si>
    <t>登場回数</t>
    <rPh sb="0" eb="4">
      <t>トウジョウカイスウ</t>
    </rPh>
    <phoneticPr fontId="8"/>
  </si>
  <si>
    <t>都道府県</t>
    <rPh sb="0" eb="4">
      <t>トドウフケン</t>
    </rPh>
    <phoneticPr fontId="8"/>
  </si>
  <si>
    <t>00112233</t>
    <phoneticPr fontId="8"/>
  </si>
  <si>
    <t>庶務 太郎</t>
    <rPh sb="0" eb="2">
      <t>ショム</t>
    </rPh>
    <rPh sb="3" eb="5">
      <t>タロウ</t>
    </rPh>
    <phoneticPr fontId="8"/>
  </si>
  <si>
    <t>都庁前</t>
    <phoneticPr fontId="8"/>
  </si>
  <si>
    <t>伊ケ谷港</t>
    <rPh sb="0" eb="1">
      <t>イ</t>
    </rPh>
    <rPh sb="2" eb="3">
      <t>タニ</t>
    </rPh>
    <rPh sb="3" eb="4">
      <t>コウ</t>
    </rPh>
    <phoneticPr fontId="8"/>
  </si>
  <si>
    <t>三池港</t>
    <rPh sb="0" eb="3">
      <t>ミイケコウ</t>
    </rPh>
    <phoneticPr fontId="8"/>
  </si>
  <si>
    <t>西八王子</t>
    <rPh sb="0" eb="4">
      <t>ニシハチオウジ</t>
    </rPh>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</si>
</sst>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Red]\-#,##0.0"/>
    <numFmt numFmtId="177" formatCode="0.0"/>
    <numFmt numFmtId="178" formatCode="[$-F800]dddd\,\ mmmm\ dd\,\ yyyy"/>
    <numFmt numFmtId="179" formatCode="0_);[Red]\(0\)"/>
    <numFmt numFmtId="180" formatCode="0.0_);[Red]\(0.0\)"/>
    <numFmt numFmtId="181" formatCode="mm/dd"/>
    <numFmt numFmtId="182" formatCode="#,###"/>
    <numFmt numFmtId="183" formatCode="[$-411]ggge&quot;年&quot;m&quot;月&quot;d&quot;日&quot;;@"/>
    <numFmt numFmtId="184" formatCode="0.0&quot;km&quot;"/>
    <numFmt numFmtId="185" formatCode="#,##0_ ;[Red]\-#,##0\ "/>
    <numFmt numFmtId="186" formatCode="####"/>
  </numFmts>
  <fonts count="56"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9"/>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8"/>
      <color theme="1"/>
      <name val="ＭＳ Ｐゴシック"/>
      <family val="3"/>
      <charset val="128"/>
      <scheme val="minor"/>
    </font>
    <font>
      <b/>
      <sz val="11"/>
      <color theme="1"/>
      <name val="ＭＳ Ｐゴシック"/>
      <family val="3"/>
      <charset val="128"/>
      <scheme val="minor"/>
    </font>
    <font>
      <u/>
      <sz val="11"/>
      <color theme="10"/>
      <name val="ＭＳ Ｐゴシック"/>
      <family val="2"/>
      <charset val="128"/>
      <scheme val="minor"/>
    </font>
    <font>
      <sz val="11"/>
      <name val="Meiryo UI"/>
      <family val="3"/>
      <charset val="128"/>
    </font>
    <font>
      <sz val="9"/>
      <color rgb="FFFF0000"/>
      <name val="Meiryo UI"/>
      <family val="3"/>
      <charset val="128"/>
    </font>
    <font>
      <sz val="11"/>
      <color rgb="FFFF0000"/>
      <name val="ＭＳ Ｐゴシック"/>
      <family val="3"/>
      <charset val="128"/>
    </font>
    <font>
      <sz val="11"/>
      <color rgb="FFFF0000"/>
      <name val="Meiryo UI"/>
      <family val="3"/>
      <charset val="128"/>
    </font>
    <font>
      <sz val="9"/>
      <name val="Meiryo UI"/>
      <family val="3"/>
      <charset val="128"/>
    </font>
    <font>
      <sz val="11"/>
      <color rgb="FFFFFF00"/>
      <name val="Meiryo UI"/>
      <family val="3"/>
      <charset val="128"/>
    </font>
    <font>
      <sz val="9"/>
      <color rgb="FFFFFF00"/>
      <name val="Meiryo UI"/>
      <family val="3"/>
      <charset val="128"/>
    </font>
    <font>
      <sz val="10"/>
      <color rgb="FFFFFF00"/>
      <name val="Meiryo UI"/>
      <family val="3"/>
      <charset val="128"/>
    </font>
    <font>
      <sz val="11"/>
      <color theme="1"/>
      <name val="Meiryo UI"/>
      <family val="3"/>
      <charset val="128"/>
    </font>
    <font>
      <b/>
      <sz val="11"/>
      <name val="Meiryo UI"/>
      <family val="3"/>
      <charset val="128"/>
    </font>
    <font>
      <b/>
      <sz val="16"/>
      <name val="Meiryo UI"/>
      <family val="3"/>
      <charset val="128"/>
    </font>
    <font>
      <b/>
      <sz val="11"/>
      <color theme="1"/>
      <name val="Meiryo UI"/>
      <family val="3"/>
      <charset val="128"/>
    </font>
    <font>
      <b/>
      <sz val="11"/>
      <color rgb="FFFF0000"/>
      <name val="Meiryo UI"/>
      <family val="3"/>
      <charset val="128"/>
    </font>
    <font>
      <sz val="10"/>
      <color theme="1"/>
      <name val="Meiryo UI"/>
      <family val="3"/>
      <charset val="128"/>
    </font>
    <font>
      <sz val="10"/>
      <name val="Meiryo UI"/>
      <family val="3"/>
      <charset val="128"/>
    </font>
    <font>
      <sz val="11"/>
      <color theme="0"/>
      <name val="Meiryo UI"/>
      <family val="3"/>
      <charset val="128"/>
    </font>
    <font>
      <b/>
      <sz val="18"/>
      <color theme="1"/>
      <name val="Meiryo UI"/>
      <family val="3"/>
      <charset val="128"/>
    </font>
    <font>
      <b/>
      <sz val="12"/>
      <color theme="1"/>
      <name val="Meiryo UI"/>
      <family val="3"/>
      <charset val="128"/>
    </font>
    <font>
      <b/>
      <sz val="12"/>
      <name val="Meiryo UI"/>
      <family val="3"/>
      <charset val="128"/>
    </font>
    <font>
      <b/>
      <sz val="14"/>
      <name val="Meiryo UI"/>
      <family val="3"/>
      <charset val="128"/>
    </font>
    <font>
      <u/>
      <sz val="11"/>
      <name val="Meiryo UI"/>
      <family val="3"/>
      <charset val="128"/>
    </font>
    <font>
      <b/>
      <sz val="11"/>
      <color rgb="FF0070C0"/>
      <name val="ＭＳ Ｐゴシック"/>
      <family val="3"/>
      <charset val="128"/>
    </font>
    <font>
      <b/>
      <u/>
      <sz val="11"/>
      <color rgb="FFFF0000"/>
      <name val="Meiryo UI"/>
      <family val="3"/>
      <charset val="128"/>
    </font>
    <font>
      <b/>
      <u/>
      <sz val="11"/>
      <color theme="1"/>
      <name val="Meiryo UI"/>
      <family val="3"/>
      <charset val="128"/>
    </font>
    <font>
      <u/>
      <sz val="11"/>
      <color theme="10"/>
      <name val="ＭＳ Ｐゴシック"/>
      <family val="3"/>
      <charset val="128"/>
    </font>
    <font>
      <u/>
      <sz val="11"/>
      <color theme="10"/>
      <name val="Meiryo UI"/>
      <family val="3"/>
      <charset val="128"/>
    </font>
    <font>
      <u/>
      <sz val="11"/>
      <color theme="1"/>
      <name val="Meiryo UI"/>
      <family val="3"/>
      <charset val="128"/>
    </font>
    <font>
      <b/>
      <sz val="10"/>
      <name val="Meiryo UI"/>
      <family val="3"/>
      <charset val="128"/>
    </font>
    <font>
      <sz val="11"/>
      <name val="ＭＳ Ｐゴシック"/>
      <family val="3"/>
      <charset val="128"/>
      <scheme val="minor"/>
    </font>
    <font>
      <b/>
      <sz val="16"/>
      <name val="ＭＳ Ｐゴシック"/>
      <family val="3"/>
      <charset val="128"/>
      <scheme val="minor"/>
    </font>
    <font>
      <sz val="12"/>
      <name val="ＭＳ Ｐゴシック"/>
      <family val="3"/>
      <charset val="128"/>
      <scheme val="minor"/>
    </font>
    <font>
      <sz val="8"/>
      <name val="ＭＳ Ｐゴシック"/>
      <family val="3"/>
      <charset val="128"/>
      <scheme val="minor"/>
    </font>
    <font>
      <b/>
      <sz val="11"/>
      <name val="游ゴシック"/>
      <family val="3"/>
      <charset val="128"/>
    </font>
    <font>
      <sz val="11"/>
      <color theme="0" tint="-4.9989318521683403E-2"/>
      <name val="ＭＳ Ｐゴシック"/>
      <family val="3"/>
      <charset val="128"/>
    </font>
    <font>
      <sz val="11"/>
      <color theme="0" tint="-4.9989318521683403E-2"/>
      <name val="ＭＳ Ｐゴシック"/>
      <family val="3"/>
      <charset val="128"/>
      <scheme val="minor"/>
    </font>
    <font>
      <sz val="11"/>
      <name val="HGP創英角ﾎﾟｯﾌﾟ体"/>
      <family val="3"/>
      <charset val="128"/>
    </font>
    <font>
      <sz val="8"/>
      <name val="HGP創英角ﾎﾟｯﾌﾟ体"/>
      <family val="3"/>
      <charset val="128"/>
    </font>
    <font>
      <sz val="11"/>
      <color theme="0" tint="-4.9989318521683403E-2"/>
      <name val="HGP創英角ﾎﾟｯﾌﾟ体"/>
      <family val="3"/>
      <charset val="128"/>
    </font>
    <font>
      <sz val="12"/>
      <name val="HGP創英角ﾎﾟｯﾌﾟ体"/>
      <family val="3"/>
      <charset val="128"/>
    </font>
    <font>
      <b/>
      <sz val="16"/>
      <name val="HGP創英角ﾎﾟｯﾌﾟ体"/>
      <family val="3"/>
      <charset val="128"/>
    </font>
  </fonts>
  <fills count="18">
    <fill>
      <patternFill patternType="none"/>
    </fill>
    <fill>
      <patternFill patternType="gray125"/>
    </fill>
    <fill>
      <patternFill patternType="solid">
        <fgColor rgb="FFFFFF99"/>
        <bgColor indexed="64"/>
      </patternFill>
    </fill>
    <fill>
      <patternFill patternType="solid">
        <fgColor rgb="FFFFCCFF"/>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CCFFCC"/>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ECFF"/>
        <bgColor indexed="64"/>
      </patternFill>
    </fill>
    <fill>
      <patternFill patternType="solid">
        <fgColor rgb="FFFFFFCC"/>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499984740745262"/>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hair">
        <color indexed="64"/>
      </right>
      <top style="thin">
        <color indexed="64"/>
      </top>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diagonal/>
    </border>
    <border>
      <left/>
      <right style="hair">
        <color indexed="64"/>
      </right>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thin">
        <color indexed="64"/>
      </top>
      <bottom style="thin">
        <color indexed="64"/>
      </bottom>
      <diagonal/>
    </border>
    <border diagonalUp="1">
      <left style="hair">
        <color indexed="64"/>
      </left>
      <right/>
      <top style="thin">
        <color indexed="64"/>
      </top>
      <bottom style="thin">
        <color indexed="64"/>
      </bottom>
      <diagonal style="hair">
        <color indexed="64"/>
      </diagonal>
    </border>
    <border diagonalUp="1">
      <left/>
      <right/>
      <top style="thin">
        <color indexed="64"/>
      </top>
      <bottom style="thin">
        <color indexed="64"/>
      </bottom>
      <diagonal style="hair">
        <color indexed="64"/>
      </diagonal>
    </border>
    <border diagonalUp="1">
      <left/>
      <right style="hair">
        <color indexed="64"/>
      </right>
      <top style="thin">
        <color indexed="64"/>
      </top>
      <bottom style="thin">
        <color indexed="64"/>
      </bottom>
      <diagonal style="hair">
        <color indexed="64"/>
      </diagonal>
    </border>
    <border>
      <left style="hair">
        <color indexed="64"/>
      </left>
      <right/>
      <top style="thin">
        <color indexed="64"/>
      </top>
      <bottom style="thin">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right style="medium">
        <color indexed="64"/>
      </right>
      <top/>
      <bottom/>
      <diagonal/>
    </border>
  </borders>
  <cellStyleXfs count="18">
    <xf numFmtId="0" fontId="0" fillId="0" borderId="0">
      <alignment vertical="center"/>
    </xf>
    <xf numFmtId="38" fontId="7" fillId="0" borderId="0" applyFont="0" applyFill="0" applyBorder="0" applyAlignment="0" applyProtection="0">
      <alignment vertical="center"/>
    </xf>
    <xf numFmtId="0" fontId="7" fillId="0" borderId="0"/>
    <xf numFmtId="0" fontId="6" fillId="0" borderId="0">
      <alignment vertical="center"/>
    </xf>
    <xf numFmtId="0" fontId="7" fillId="0" borderId="0">
      <alignment vertical="center"/>
    </xf>
    <xf numFmtId="38" fontId="6" fillId="0" borderId="0" applyFont="0" applyFill="0" applyBorder="0" applyAlignment="0" applyProtection="0">
      <alignment vertical="center"/>
    </xf>
    <xf numFmtId="0" fontId="15" fillId="0" borderId="0" applyNumberFormat="0" applyFill="0" applyBorder="0" applyAlignment="0" applyProtection="0">
      <alignment vertical="center"/>
    </xf>
    <xf numFmtId="0" fontId="5" fillId="0" borderId="0">
      <alignment vertical="center"/>
    </xf>
    <xf numFmtId="38" fontId="5" fillId="0" borderId="0" applyFont="0" applyFill="0" applyBorder="0" applyAlignment="0" applyProtection="0">
      <alignment vertical="center"/>
    </xf>
    <xf numFmtId="0" fontId="4" fillId="0" borderId="0">
      <alignment vertical="center"/>
    </xf>
    <xf numFmtId="38" fontId="4" fillId="0" borderId="0" applyFont="0" applyFill="0" applyBorder="0" applyAlignment="0" applyProtection="0">
      <alignment vertical="center"/>
    </xf>
    <xf numFmtId="0" fontId="40" fillId="0" borderId="0" applyNumberFormat="0" applyFill="0" applyBorder="0" applyAlignment="0" applyProtection="0">
      <alignment vertical="center"/>
    </xf>
    <xf numFmtId="0" fontId="3" fillId="0" borderId="0">
      <alignment vertical="center"/>
    </xf>
    <xf numFmtId="38" fontId="3" fillId="0" borderId="0" applyFont="0" applyFill="0" applyBorder="0" applyAlignment="0" applyProtection="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cellStyleXfs>
  <cellXfs count="827">
    <xf numFmtId="0" fontId="0" fillId="0" borderId="0" xfId="0">
      <alignment vertical="center"/>
    </xf>
    <xf numFmtId="0" fontId="0" fillId="5" borderId="1" xfId="0" applyFill="1" applyBorder="1">
      <alignment vertical="center"/>
    </xf>
    <xf numFmtId="0" fontId="5" fillId="0" borderId="0" xfId="7" applyAlignment="1">
      <alignment horizontal="left" vertical="center"/>
    </xf>
    <xf numFmtId="0" fontId="5" fillId="9" borderId="0" xfId="7" applyFill="1" applyAlignment="1">
      <alignment horizontal="left" vertical="center"/>
    </xf>
    <xf numFmtId="0" fontId="5" fillId="9" borderId="0" xfId="7" applyFill="1" applyAlignment="1">
      <alignment horizontal="left" vertical="center" wrapText="1"/>
    </xf>
    <xf numFmtId="0" fontId="5" fillId="4" borderId="0" xfId="7" applyFill="1" applyAlignment="1">
      <alignment horizontal="left" vertical="center"/>
    </xf>
    <xf numFmtId="0" fontId="5" fillId="0" borderId="0" xfId="7" applyAlignment="1">
      <alignment horizontal="left" vertical="center" wrapText="1"/>
    </xf>
    <xf numFmtId="0" fontId="16" fillId="0" borderId="0" xfId="0" applyFont="1">
      <alignment vertical="center"/>
    </xf>
    <xf numFmtId="0" fontId="0" fillId="0" borderId="0" xfId="0" applyAlignment="1">
      <alignment horizontal="left" vertical="center"/>
    </xf>
    <xf numFmtId="0" fontId="0" fillId="9" borderId="0" xfId="0" applyFill="1" applyAlignment="1">
      <alignment horizontal="left" vertical="center"/>
    </xf>
    <xf numFmtId="0" fontId="0" fillId="0" borderId="1" xfId="0" applyBorder="1">
      <alignment vertical="center"/>
    </xf>
    <xf numFmtId="180" fontId="0" fillId="0" borderId="1" xfId="0" applyNumberFormat="1" applyBorder="1">
      <alignment vertical="center"/>
    </xf>
    <xf numFmtId="177" fontId="0" fillId="0" borderId="1" xfId="0" applyNumberFormat="1" applyBorder="1">
      <alignment vertical="center"/>
    </xf>
    <xf numFmtId="0" fontId="0" fillId="0" borderId="4" xfId="0" applyBorder="1">
      <alignment vertical="center"/>
    </xf>
    <xf numFmtId="0" fontId="0" fillId="0" borderId="6" xfId="0" applyBorder="1">
      <alignment vertical="center"/>
    </xf>
    <xf numFmtId="0" fontId="0" fillId="0" borderId="10" xfId="0" applyBorder="1">
      <alignment vertical="center"/>
    </xf>
    <xf numFmtId="0" fontId="0" fillId="0" borderId="14" xfId="0" applyBorder="1">
      <alignment vertical="center"/>
    </xf>
    <xf numFmtId="0" fontId="0" fillId="0" borderId="15" xfId="0" applyBorder="1">
      <alignment vertical="center"/>
    </xf>
    <xf numFmtId="0" fontId="0" fillId="0" borderId="13" xfId="0" applyBorder="1">
      <alignment vertical="center"/>
    </xf>
    <xf numFmtId="0" fontId="0" fillId="5" borderId="11" xfId="0" applyFill="1" applyBorder="1">
      <alignment vertical="center"/>
    </xf>
    <xf numFmtId="179" fontId="0" fillId="5" borderId="1" xfId="0" applyNumberFormat="1" applyFill="1" applyBorder="1">
      <alignment vertical="center"/>
    </xf>
    <xf numFmtId="0" fontId="14" fillId="0" borderId="0" xfId="3" applyFont="1" applyProtection="1">
      <alignment vertical="center"/>
      <protection hidden="1"/>
    </xf>
    <xf numFmtId="0" fontId="13" fillId="0" borderId="0" xfId="3" applyFont="1" applyProtection="1">
      <alignment vertical="center"/>
      <protection hidden="1"/>
    </xf>
    <xf numFmtId="0" fontId="24" fillId="0" borderId="0" xfId="3" applyFont="1" applyProtection="1">
      <alignment vertical="center"/>
      <protection hidden="1"/>
    </xf>
    <xf numFmtId="0" fontId="16" fillId="0" borderId="0" xfId="9" applyFont="1" applyProtection="1">
      <alignment vertical="center"/>
      <protection hidden="1"/>
    </xf>
    <xf numFmtId="0" fontId="16" fillId="0" borderId="0" xfId="9" applyFont="1" applyAlignment="1" applyProtection="1">
      <alignment vertical="top"/>
      <protection hidden="1"/>
    </xf>
    <xf numFmtId="0" fontId="16" fillId="0" borderId="0" xfId="3" applyFont="1" applyProtection="1">
      <alignment vertical="center"/>
      <protection hidden="1"/>
    </xf>
    <xf numFmtId="0" fontId="25" fillId="0" borderId="0" xfId="9" applyFont="1" applyProtection="1">
      <alignment vertical="center"/>
      <protection hidden="1"/>
    </xf>
    <xf numFmtId="0" fontId="16" fillId="0" borderId="0" xfId="9" applyFont="1" applyAlignment="1" applyProtection="1">
      <alignment horizontal="center" vertical="center"/>
      <protection hidden="1"/>
    </xf>
    <xf numFmtId="0" fontId="25" fillId="0" borderId="0" xfId="9" applyFont="1" applyAlignment="1" applyProtection="1">
      <alignment horizontal="right" vertical="center" wrapText="1"/>
      <protection hidden="1"/>
    </xf>
    <xf numFmtId="0" fontId="25" fillId="7" borderId="16" xfId="9" applyFont="1" applyFill="1" applyBorder="1" applyAlignment="1" applyProtection="1">
      <alignment horizontal="center" vertical="center" wrapText="1"/>
      <protection hidden="1"/>
    </xf>
    <xf numFmtId="0" fontId="25" fillId="7" borderId="17" xfId="9" applyFont="1" applyFill="1" applyBorder="1" applyAlignment="1" applyProtection="1">
      <alignment horizontal="center" vertical="center" wrapText="1"/>
      <protection hidden="1"/>
    </xf>
    <xf numFmtId="0" fontId="16" fillId="2" borderId="16" xfId="9" applyFont="1" applyFill="1" applyBorder="1" applyAlignment="1" applyProtection="1">
      <alignment vertical="center" shrinkToFit="1"/>
      <protection hidden="1"/>
    </xf>
    <xf numFmtId="0" fontId="16" fillId="0" borderId="3" xfId="9" applyFont="1" applyBorder="1" applyAlignment="1" applyProtection="1">
      <alignment vertical="center" wrapText="1"/>
      <protection hidden="1"/>
    </xf>
    <xf numFmtId="0" fontId="25" fillId="7" borderId="13" xfId="9" applyFont="1" applyFill="1" applyBorder="1" applyAlignment="1" applyProtection="1">
      <alignment horizontal="center" vertical="center" shrinkToFit="1"/>
      <protection hidden="1"/>
    </xf>
    <xf numFmtId="0" fontId="16" fillId="2" borderId="17" xfId="9" applyFont="1" applyFill="1" applyBorder="1" applyAlignment="1" applyProtection="1">
      <alignment vertical="center" shrinkToFit="1"/>
      <protection hidden="1"/>
    </xf>
    <xf numFmtId="0" fontId="16" fillId="0" borderId="7" xfId="9" applyFont="1" applyBorder="1" applyAlignment="1" applyProtection="1">
      <alignment vertical="center" wrapText="1"/>
      <protection hidden="1"/>
    </xf>
    <xf numFmtId="0" fontId="16" fillId="0" borderId="0" xfId="3" applyFont="1" applyAlignment="1" applyProtection="1">
      <alignment vertical="center" shrinkToFit="1"/>
      <protection hidden="1"/>
    </xf>
    <xf numFmtId="38" fontId="16" fillId="0" borderId="11" xfId="5" applyFont="1" applyFill="1" applyBorder="1" applyAlignment="1" applyProtection="1">
      <alignment horizontal="right" vertical="center" wrapText="1"/>
      <protection hidden="1"/>
    </xf>
    <xf numFmtId="0" fontId="16" fillId="0" borderId="12" xfId="3" applyFont="1" applyBorder="1" applyAlignment="1" applyProtection="1">
      <alignment horizontal="left" vertical="center" wrapText="1"/>
      <protection hidden="1"/>
    </xf>
    <xf numFmtId="176" fontId="16" fillId="0" borderId="0" xfId="5" applyNumberFormat="1" applyFont="1" applyFill="1" applyBorder="1" applyAlignment="1" applyProtection="1">
      <alignment horizontal="right" vertical="center" wrapText="1"/>
      <protection hidden="1"/>
    </xf>
    <xf numFmtId="0" fontId="16" fillId="0" borderId="0" xfId="3" applyFont="1" applyAlignment="1" applyProtection="1">
      <alignment horizontal="left" vertical="center" wrapText="1"/>
      <protection hidden="1"/>
    </xf>
    <xf numFmtId="0" fontId="16" fillId="5" borderId="0" xfId="0" applyFont="1" applyFill="1">
      <alignment vertical="center"/>
    </xf>
    <xf numFmtId="0" fontId="17" fillId="0" borderId="0" xfId="0" applyFont="1" applyAlignment="1">
      <alignment horizontal="left" vertical="center"/>
    </xf>
    <xf numFmtId="0" fontId="30" fillId="0" borderId="2" xfId="7" applyFont="1" applyBorder="1" applyAlignment="1">
      <alignment horizontal="left" wrapText="1"/>
    </xf>
    <xf numFmtId="0" fontId="25" fillId="0" borderId="2" xfId="7" applyFont="1" applyBorder="1" applyAlignment="1">
      <alignment horizontal="center" vertical="center" textRotation="255" wrapText="1"/>
    </xf>
    <xf numFmtId="0" fontId="25" fillId="0" borderId="8" xfId="7" applyFont="1" applyBorder="1" applyAlignment="1">
      <alignment horizontal="center" vertical="center" textRotation="255" wrapText="1"/>
    </xf>
    <xf numFmtId="0" fontId="24" fillId="0" borderId="2" xfId="3" applyFont="1" applyBorder="1" applyProtection="1">
      <alignment vertical="center"/>
      <protection hidden="1"/>
    </xf>
    <xf numFmtId="0" fontId="24" fillId="0" borderId="6" xfId="3" applyFont="1" applyBorder="1" applyProtection="1">
      <alignment vertical="center"/>
      <protection hidden="1"/>
    </xf>
    <xf numFmtId="0" fontId="24" fillId="0" borderId="10" xfId="3" applyFont="1" applyBorder="1" applyProtection="1">
      <alignment vertical="center"/>
      <protection hidden="1"/>
    </xf>
    <xf numFmtId="0" fontId="30" fillId="0" borderId="1" xfId="0" applyFont="1" applyBorder="1" applyProtection="1">
      <alignment vertical="center"/>
      <protection hidden="1"/>
    </xf>
    <xf numFmtId="0" fontId="16" fillId="0" borderId="0" xfId="0" applyFont="1" applyProtection="1">
      <alignment vertical="center"/>
      <protection hidden="1"/>
    </xf>
    <xf numFmtId="0" fontId="20" fillId="0" borderId="0" xfId="0" applyFont="1" applyProtection="1">
      <alignment vertical="center"/>
      <protection hidden="1"/>
    </xf>
    <xf numFmtId="0" fontId="24" fillId="0" borderId="0" xfId="3" applyFont="1" applyAlignment="1" applyProtection="1">
      <alignment horizontal="center" vertical="center"/>
      <protection hidden="1"/>
    </xf>
    <xf numFmtId="0" fontId="16" fillId="0" borderId="6" xfId="0" applyFont="1" applyBorder="1" applyProtection="1">
      <alignment vertical="center"/>
      <protection hidden="1"/>
    </xf>
    <xf numFmtId="0" fontId="27" fillId="6" borderId="2" xfId="3" applyFont="1" applyFill="1" applyBorder="1" applyProtection="1">
      <alignment vertical="center"/>
      <protection hidden="1"/>
    </xf>
    <xf numFmtId="0" fontId="16" fillId="0" borderId="0" xfId="0" applyFont="1" applyAlignment="1" applyProtection="1">
      <alignment horizontal="center" vertical="center" shrinkToFit="1"/>
      <protection hidden="1"/>
    </xf>
    <xf numFmtId="0" fontId="35" fillId="0" borderId="0" xfId="7" applyFont="1">
      <alignment vertical="center"/>
    </xf>
    <xf numFmtId="0" fontId="36" fillId="0" borderId="0" xfId="6" applyFont="1" applyBorder="1">
      <alignment vertical="center"/>
    </xf>
    <xf numFmtId="0" fontId="16" fillId="0" borderId="0" xfId="7" applyFont="1">
      <alignment vertical="center"/>
    </xf>
    <xf numFmtId="0" fontId="30" fillId="0" borderId="0" xfId="7" applyFont="1">
      <alignment vertical="center"/>
    </xf>
    <xf numFmtId="0" fontId="30" fillId="0" borderId="2" xfId="7" applyFont="1" applyBorder="1" applyAlignment="1">
      <alignment horizontal="left" vertical="center" wrapText="1"/>
    </xf>
    <xf numFmtId="0" fontId="30" fillId="0" borderId="8" xfId="7" applyFont="1" applyBorder="1" applyAlignment="1">
      <alignment horizontal="left" vertical="top" wrapText="1"/>
    </xf>
    <xf numFmtId="0" fontId="30" fillId="0" borderId="8" xfId="7" applyFont="1" applyBorder="1" applyAlignment="1">
      <alignment horizontal="left" vertical="center" wrapText="1"/>
    </xf>
    <xf numFmtId="0" fontId="9" fillId="0" borderId="0" xfId="0" applyFont="1">
      <alignment vertical="center"/>
    </xf>
    <xf numFmtId="0" fontId="0" fillId="4" borderId="1" xfId="0" applyFill="1" applyBorder="1">
      <alignment vertical="center"/>
    </xf>
    <xf numFmtId="180" fontId="0" fillId="4" borderId="1" xfId="0" applyNumberFormat="1" applyFill="1" applyBorder="1">
      <alignment vertical="center"/>
    </xf>
    <xf numFmtId="0" fontId="24" fillId="0" borderId="0" xfId="9" applyFont="1" applyProtection="1">
      <alignment vertical="center"/>
      <protection hidden="1"/>
    </xf>
    <xf numFmtId="0" fontId="0" fillId="10" borderId="1" xfId="0" applyFill="1" applyBorder="1">
      <alignment vertical="center"/>
    </xf>
    <xf numFmtId="0" fontId="0" fillId="11" borderId="1" xfId="0" applyFill="1" applyBorder="1">
      <alignment vertical="center"/>
    </xf>
    <xf numFmtId="0" fontId="0" fillId="4" borderId="4" xfId="0" applyFill="1" applyBorder="1">
      <alignment vertical="center"/>
    </xf>
    <xf numFmtId="0" fontId="0" fillId="4" borderId="6" xfId="0" applyFill="1" applyBorder="1">
      <alignment vertical="center"/>
    </xf>
    <xf numFmtId="0" fontId="0" fillId="4" borderId="10" xfId="0" applyFill="1" applyBorder="1">
      <alignment vertical="center"/>
    </xf>
    <xf numFmtId="0" fontId="0" fillId="4" borderId="14" xfId="0" applyFill="1" applyBorder="1">
      <alignment vertical="center"/>
    </xf>
    <xf numFmtId="0" fontId="0" fillId="4" borderId="15" xfId="0" applyFill="1" applyBorder="1">
      <alignment vertical="center"/>
    </xf>
    <xf numFmtId="0" fontId="0" fillId="4" borderId="13" xfId="0" applyFill="1" applyBorder="1">
      <alignment vertical="center"/>
    </xf>
    <xf numFmtId="0" fontId="0" fillId="12" borderId="1" xfId="0" applyFill="1" applyBorder="1">
      <alignment vertical="center"/>
    </xf>
    <xf numFmtId="0" fontId="16" fillId="7" borderId="1" xfId="3" applyFont="1" applyFill="1" applyBorder="1" applyAlignment="1" applyProtection="1">
      <alignment horizontal="center" vertical="center"/>
      <protection hidden="1"/>
    </xf>
    <xf numFmtId="0" fontId="16" fillId="0" borderId="1" xfId="3" applyFont="1" applyBorder="1" applyProtection="1">
      <alignment vertical="center"/>
      <protection hidden="1"/>
    </xf>
    <xf numFmtId="0" fontId="16" fillId="3" borderId="1" xfId="3" applyFont="1" applyFill="1" applyBorder="1" applyProtection="1">
      <alignment vertical="center"/>
      <protection hidden="1"/>
    </xf>
    <xf numFmtId="0" fontId="16" fillId="13" borderId="1" xfId="3" applyFont="1" applyFill="1" applyBorder="1" applyProtection="1">
      <alignment vertical="center"/>
      <protection hidden="1"/>
    </xf>
    <xf numFmtId="0" fontId="16" fillId="10" borderId="1" xfId="3" applyFont="1" applyFill="1" applyBorder="1" applyProtection="1">
      <alignment vertical="center"/>
      <protection hidden="1"/>
    </xf>
    <xf numFmtId="0" fontId="16" fillId="14" borderId="1" xfId="3" applyFont="1" applyFill="1" applyBorder="1" applyProtection="1">
      <alignment vertical="center"/>
      <protection hidden="1"/>
    </xf>
    <xf numFmtId="0" fontId="38" fillId="0" borderId="0" xfId="3" applyFont="1" applyProtection="1">
      <alignment vertical="center"/>
      <protection hidden="1"/>
    </xf>
    <xf numFmtId="0" fontId="24" fillId="0" borderId="4" xfId="3" applyFont="1" applyBorder="1" applyProtection="1">
      <alignment vertical="center"/>
      <protection hidden="1"/>
    </xf>
    <xf numFmtId="0" fontId="27" fillId="0" borderId="0" xfId="3" applyFont="1" applyProtection="1">
      <alignment vertical="center"/>
      <protection hidden="1"/>
    </xf>
    <xf numFmtId="0" fontId="32" fillId="0" borderId="0" xfId="3" applyFont="1" applyProtection="1">
      <alignment vertical="center"/>
      <protection hidden="1"/>
    </xf>
    <xf numFmtId="0" fontId="24" fillId="0" borderId="0" xfId="3" applyFont="1" applyAlignment="1" applyProtection="1">
      <alignment vertical="center" textRotation="255" wrapText="1"/>
      <protection hidden="1"/>
    </xf>
    <xf numFmtId="0" fontId="24" fillId="0" borderId="0" xfId="3" applyFont="1" applyAlignment="1" applyProtection="1">
      <alignment vertical="center" wrapText="1"/>
      <protection hidden="1"/>
    </xf>
    <xf numFmtId="0" fontId="34" fillId="0" borderId="6" xfId="0" applyFont="1" applyBorder="1" applyProtection="1">
      <alignment vertical="center"/>
      <protection hidden="1"/>
    </xf>
    <xf numFmtId="0" fontId="16" fillId="0" borderId="0" xfId="3" applyFont="1" applyAlignment="1" applyProtection="1">
      <alignment horizontal="right" vertical="center"/>
      <protection hidden="1"/>
    </xf>
    <xf numFmtId="0" fontId="20" fillId="0" borderId="8" xfId="7" applyFont="1" applyBorder="1" applyAlignment="1">
      <alignment horizontal="left" vertical="center" wrapText="1"/>
    </xf>
    <xf numFmtId="0" fontId="24" fillId="3" borderId="1" xfId="3" applyFont="1" applyFill="1" applyBorder="1" applyProtection="1">
      <alignment vertical="center"/>
      <protection hidden="1"/>
    </xf>
    <xf numFmtId="0" fontId="24" fillId="5" borderId="1" xfId="3" applyFont="1" applyFill="1" applyBorder="1" applyProtection="1">
      <alignment vertical="center"/>
      <protection hidden="1"/>
    </xf>
    <xf numFmtId="0" fontId="24" fillId="2" borderId="1" xfId="3" applyFont="1" applyFill="1" applyBorder="1" applyProtection="1">
      <alignment vertical="center"/>
      <protection hidden="1"/>
    </xf>
    <xf numFmtId="0" fontId="20" fillId="0" borderId="0" xfId="7" applyFont="1" applyAlignment="1">
      <alignment horizontal="left" vertical="center" wrapText="1"/>
    </xf>
    <xf numFmtId="0" fontId="41" fillId="0" borderId="0" xfId="11" applyFont="1" applyAlignment="1" applyProtection="1">
      <alignment vertical="center" wrapText="1"/>
      <protection locked="0"/>
    </xf>
    <xf numFmtId="0" fontId="16" fillId="0" borderId="0" xfId="0" applyFont="1" applyAlignment="1">
      <alignment vertical="center" wrapText="1"/>
    </xf>
    <xf numFmtId="0" fontId="16" fillId="7" borderId="11" xfId="0" applyFont="1" applyFill="1" applyBorder="1" applyAlignment="1" applyProtection="1">
      <alignment vertical="center" shrinkToFit="1"/>
      <protection hidden="1"/>
    </xf>
    <xf numFmtId="0" fontId="16" fillId="7" borderId="1" xfId="0" applyFont="1" applyFill="1" applyBorder="1" applyProtection="1">
      <alignment vertical="center"/>
      <protection hidden="1"/>
    </xf>
    <xf numFmtId="0" fontId="16" fillId="7" borderId="14" xfId="0" applyFont="1" applyFill="1" applyBorder="1" applyProtection="1">
      <alignment vertical="center"/>
      <protection hidden="1"/>
    </xf>
    <xf numFmtId="14" fontId="16" fillId="0" borderId="0" xfId="0" applyNumberFormat="1" applyFont="1" applyProtection="1">
      <alignment vertical="center"/>
      <protection hidden="1"/>
    </xf>
    <xf numFmtId="0" fontId="27" fillId="0" borderId="0" xfId="3" applyFont="1" applyAlignment="1" applyProtection="1">
      <alignment horizontal="left" vertical="center"/>
      <protection hidden="1"/>
    </xf>
    <xf numFmtId="14" fontId="24" fillId="0" borderId="0" xfId="3" applyNumberFormat="1" applyFont="1" applyProtection="1">
      <alignment vertical="center"/>
      <protection hidden="1"/>
    </xf>
    <xf numFmtId="0" fontId="25" fillId="0" borderId="0" xfId="0" applyFont="1" applyProtection="1">
      <alignment vertical="center"/>
      <protection hidden="1"/>
    </xf>
    <xf numFmtId="0" fontId="16" fillId="7" borderId="1" xfId="0" applyFont="1" applyFill="1" applyBorder="1" applyAlignment="1" applyProtection="1">
      <alignment vertical="center" shrinkToFit="1"/>
      <protection hidden="1"/>
    </xf>
    <xf numFmtId="14" fontId="30" fillId="15" borderId="1" xfId="0" applyNumberFormat="1" applyFont="1" applyFill="1" applyBorder="1" applyAlignment="1" applyProtection="1">
      <alignment horizontal="center" vertical="center"/>
      <protection hidden="1"/>
    </xf>
    <xf numFmtId="0" fontId="16" fillId="0" borderId="0" xfId="0" applyFont="1" applyAlignment="1" applyProtection="1">
      <alignment horizontal="left" vertical="center" shrinkToFit="1"/>
      <protection hidden="1"/>
    </xf>
    <xf numFmtId="0" fontId="27" fillId="0" borderId="8" xfId="3" applyFont="1" applyBorder="1" applyProtection="1">
      <alignment vertical="center"/>
      <protection hidden="1"/>
    </xf>
    <xf numFmtId="14" fontId="30" fillId="0" borderId="0" xfId="0" applyNumberFormat="1" applyFont="1" applyAlignment="1" applyProtection="1">
      <alignment horizontal="center" vertical="center"/>
      <protection hidden="1"/>
    </xf>
    <xf numFmtId="0" fontId="27" fillId="6" borderId="4" xfId="3" applyFont="1" applyFill="1" applyBorder="1" applyProtection="1">
      <alignment vertical="center"/>
      <protection hidden="1"/>
    </xf>
    <xf numFmtId="0" fontId="27" fillId="6" borderId="3" xfId="3" applyFont="1" applyFill="1" applyBorder="1" applyProtection="1">
      <alignment vertical="center"/>
      <protection hidden="1"/>
    </xf>
    <xf numFmtId="0" fontId="27" fillId="0" borderId="6" xfId="3" applyFont="1" applyBorder="1" applyAlignment="1" applyProtection="1">
      <alignment horizontal="left" vertical="center"/>
      <protection hidden="1"/>
    </xf>
    <xf numFmtId="0" fontId="27" fillId="6" borderId="2" xfId="3" applyFont="1" applyFill="1" applyBorder="1" applyAlignment="1" applyProtection="1">
      <alignment horizontal="center" vertical="center"/>
      <protection hidden="1"/>
    </xf>
    <xf numFmtId="0" fontId="16" fillId="6" borderId="2" xfId="0" applyFont="1" applyFill="1" applyBorder="1" applyProtection="1">
      <alignment vertical="center"/>
      <protection hidden="1"/>
    </xf>
    <xf numFmtId="0" fontId="25" fillId="6" borderId="4" xfId="0" applyFont="1" applyFill="1" applyBorder="1" applyProtection="1">
      <alignment vertical="center"/>
      <protection hidden="1"/>
    </xf>
    <xf numFmtId="0" fontId="27" fillId="0" borderId="6" xfId="3" applyFont="1" applyBorder="1" applyProtection="1">
      <alignment vertical="center"/>
      <protection hidden="1"/>
    </xf>
    <xf numFmtId="0" fontId="24" fillId="15" borderId="6" xfId="3" applyFont="1" applyFill="1" applyBorder="1" applyAlignment="1" applyProtection="1">
      <alignment horizontal="left" vertical="center"/>
      <protection hidden="1"/>
    </xf>
    <xf numFmtId="0" fontId="0" fillId="0" borderId="2" xfId="0" applyBorder="1">
      <alignment vertical="center"/>
    </xf>
    <xf numFmtId="38" fontId="16" fillId="0" borderId="6" xfId="5" applyFont="1" applyFill="1" applyBorder="1" applyAlignment="1" applyProtection="1">
      <alignment horizontal="right" vertical="center" wrapText="1"/>
      <protection hidden="1"/>
    </xf>
    <xf numFmtId="0" fontId="24" fillId="12" borderId="0" xfId="3" applyFont="1" applyFill="1" applyProtection="1">
      <alignment vertical="center"/>
      <protection hidden="1"/>
    </xf>
    <xf numFmtId="0" fontId="16" fillId="12" borderId="0" xfId="0" applyFont="1" applyFill="1">
      <alignment vertical="center"/>
    </xf>
    <xf numFmtId="0" fontId="29" fillId="0" borderId="6" xfId="3" applyFont="1" applyBorder="1" applyProtection="1">
      <alignment vertical="center"/>
      <protection hidden="1"/>
    </xf>
    <xf numFmtId="0" fontId="30" fillId="0" borderId="0" xfId="0" applyFont="1" applyAlignment="1" applyProtection="1">
      <alignment horizontal="left" vertical="center"/>
      <protection hidden="1"/>
    </xf>
    <xf numFmtId="0" fontId="16" fillId="0" borderId="0" xfId="4" applyFont="1" applyAlignment="1" applyProtection="1">
      <alignment horizontal="center" vertical="center"/>
      <protection hidden="1"/>
    </xf>
    <xf numFmtId="0" fontId="16" fillId="0" borderId="0" xfId="9" applyFont="1" applyAlignment="1" applyProtection="1">
      <alignment vertical="center" wrapText="1"/>
      <protection hidden="1"/>
    </xf>
    <xf numFmtId="38" fontId="16" fillId="0" borderId="0" xfId="5" applyFont="1" applyFill="1" applyBorder="1" applyAlignment="1" applyProtection="1">
      <alignment horizontal="right" vertical="center" wrapText="1"/>
      <protection hidden="1"/>
    </xf>
    <xf numFmtId="0" fontId="27" fillId="6" borderId="4" xfId="3" applyFont="1" applyFill="1" applyBorder="1" applyAlignment="1" applyProtection="1">
      <alignment horizontal="left" vertical="center"/>
      <protection hidden="1"/>
    </xf>
    <xf numFmtId="0" fontId="25" fillId="7" borderId="10" xfId="0" applyFont="1" applyFill="1" applyBorder="1" applyProtection="1">
      <alignment vertical="center"/>
      <protection hidden="1"/>
    </xf>
    <xf numFmtId="0" fontId="25" fillId="7" borderId="8" xfId="0" applyFont="1" applyFill="1" applyBorder="1" applyProtection="1">
      <alignment vertical="center"/>
      <protection hidden="1"/>
    </xf>
    <xf numFmtId="0" fontId="25" fillId="7" borderId="11" xfId="0" applyFont="1" applyFill="1" applyBorder="1" applyProtection="1">
      <alignment vertical="center"/>
      <protection hidden="1"/>
    </xf>
    <xf numFmtId="0" fontId="25" fillId="7" borderId="9" xfId="0" applyFont="1" applyFill="1" applyBorder="1" applyProtection="1">
      <alignment vertical="center"/>
      <protection hidden="1"/>
    </xf>
    <xf numFmtId="0" fontId="25" fillId="0" borderId="2" xfId="0" applyFont="1" applyBorder="1" applyProtection="1">
      <alignment vertical="center"/>
      <protection hidden="1"/>
    </xf>
    <xf numFmtId="0" fontId="16" fillId="0" borderId="2" xfId="0" applyFont="1" applyBorder="1" applyProtection="1">
      <alignment vertical="center"/>
      <protection hidden="1"/>
    </xf>
    <xf numFmtId="0" fontId="28" fillId="0" borderId="6" xfId="0" applyFont="1" applyBorder="1" applyProtection="1">
      <alignment vertical="center"/>
      <protection hidden="1"/>
    </xf>
    <xf numFmtId="0" fontId="27" fillId="6" borderId="11" xfId="3" applyFont="1" applyFill="1" applyBorder="1" applyProtection="1">
      <alignment vertical="center"/>
      <protection hidden="1"/>
    </xf>
    <xf numFmtId="0" fontId="27" fillId="6" borderId="9" xfId="3" applyFont="1" applyFill="1" applyBorder="1" applyProtection="1">
      <alignment vertical="center"/>
      <protection hidden="1"/>
    </xf>
    <xf numFmtId="38" fontId="25" fillId="6" borderId="4" xfId="1" applyFont="1" applyFill="1" applyBorder="1" applyProtection="1">
      <alignment vertical="center"/>
      <protection hidden="1"/>
    </xf>
    <xf numFmtId="38" fontId="16" fillId="6" borderId="2" xfId="1" applyFont="1" applyFill="1" applyBorder="1" applyProtection="1">
      <alignment vertical="center"/>
      <protection hidden="1"/>
    </xf>
    <xf numFmtId="38" fontId="27" fillId="0" borderId="6" xfId="1" applyFont="1" applyBorder="1" applyProtection="1">
      <alignment vertical="center"/>
      <protection hidden="1"/>
    </xf>
    <xf numFmtId="38" fontId="27" fillId="0" borderId="0" xfId="1" applyFont="1" applyBorder="1" applyProtection="1">
      <alignment vertical="center"/>
      <protection hidden="1"/>
    </xf>
    <xf numFmtId="38" fontId="28" fillId="0" borderId="10" xfId="1" applyFont="1" applyBorder="1" applyProtection="1">
      <alignment vertical="center"/>
      <protection hidden="1"/>
    </xf>
    <xf numFmtId="38" fontId="27" fillId="0" borderId="8" xfId="1" applyFont="1" applyBorder="1" applyProtection="1">
      <alignment vertical="center"/>
      <protection hidden="1"/>
    </xf>
    <xf numFmtId="3" fontId="16" fillId="2" borderId="27" xfId="0" applyNumberFormat="1" applyFont="1" applyFill="1" applyBorder="1" applyAlignment="1" applyProtection="1">
      <alignment horizontal="right" vertical="center"/>
      <protection hidden="1"/>
    </xf>
    <xf numFmtId="0" fontId="16" fillId="16" borderId="0" xfId="0" applyFont="1" applyFill="1">
      <alignment vertical="center"/>
    </xf>
    <xf numFmtId="0" fontId="16" fillId="2" borderId="0" xfId="0" applyFont="1" applyFill="1">
      <alignment vertical="center"/>
    </xf>
    <xf numFmtId="0" fontId="16" fillId="5" borderId="0" xfId="0" applyFont="1" applyFill="1" applyAlignment="1">
      <alignment horizontal="left" vertical="center"/>
    </xf>
    <xf numFmtId="0" fontId="25" fillId="7" borderId="14" xfId="9" applyFont="1" applyFill="1" applyBorder="1" applyAlignment="1" applyProtection="1">
      <alignment horizontal="center" vertical="center"/>
      <protection hidden="1"/>
    </xf>
    <xf numFmtId="0" fontId="25" fillId="7" borderId="13" xfId="9" applyFont="1" applyFill="1" applyBorder="1" applyAlignment="1" applyProtection="1">
      <alignment horizontal="center" vertical="center"/>
      <protection hidden="1"/>
    </xf>
    <xf numFmtId="0" fontId="26" fillId="0" borderId="0" xfId="9" applyFont="1" applyAlignment="1" applyProtection="1">
      <alignment horizontal="center"/>
      <protection hidden="1"/>
    </xf>
    <xf numFmtId="178" fontId="24" fillId="0" borderId="0" xfId="3" applyNumberFormat="1" applyFont="1" applyProtection="1">
      <alignment vertical="center"/>
      <protection hidden="1"/>
    </xf>
    <xf numFmtId="0" fontId="16" fillId="0" borderId="0" xfId="0" applyFont="1" applyAlignment="1" applyProtection="1">
      <alignment vertical="top"/>
      <protection hidden="1"/>
    </xf>
    <xf numFmtId="14" fontId="16" fillId="3" borderId="28" xfId="0" applyNumberFormat="1" applyFont="1" applyFill="1" applyBorder="1" applyAlignment="1" applyProtection="1">
      <alignment horizontal="center" vertical="center"/>
      <protection locked="0"/>
    </xf>
    <xf numFmtId="0" fontId="37" fillId="0" borderId="0" xfId="0" applyFont="1" applyProtection="1">
      <alignment vertical="center"/>
      <protection hidden="1"/>
    </xf>
    <xf numFmtId="0" fontId="11" fillId="0" borderId="0" xfId="3" applyFont="1" applyProtection="1">
      <alignment vertical="center"/>
      <protection hidden="1"/>
    </xf>
    <xf numFmtId="0" fontId="14" fillId="0" borderId="0" xfId="3" applyFont="1" applyAlignment="1" applyProtection="1">
      <alignment vertical="center" shrinkToFit="1"/>
      <protection hidden="1"/>
    </xf>
    <xf numFmtId="0" fontId="44" fillId="0" borderId="4" xfId="16" applyFont="1" applyBorder="1" applyProtection="1">
      <alignment vertical="center"/>
      <protection hidden="1"/>
    </xf>
    <xf numFmtId="0" fontId="44" fillId="0" borderId="2" xfId="16" applyFont="1" applyBorder="1" applyProtection="1">
      <alignment vertical="center"/>
      <protection hidden="1"/>
    </xf>
    <xf numFmtId="0" fontId="44" fillId="0" borderId="3" xfId="16" applyFont="1" applyBorder="1" applyProtection="1">
      <alignment vertical="center"/>
      <protection hidden="1"/>
    </xf>
    <xf numFmtId="0" fontId="44" fillId="0" borderId="0" xfId="16" applyFont="1" applyProtection="1">
      <alignment vertical="center"/>
      <protection hidden="1"/>
    </xf>
    <xf numFmtId="0" fontId="44" fillId="0" borderId="6" xfId="16" applyFont="1" applyBorder="1" applyProtection="1">
      <alignment vertical="center"/>
      <protection hidden="1"/>
    </xf>
    <xf numFmtId="0" fontId="44" fillId="0" borderId="5" xfId="16" applyFont="1" applyBorder="1" applyProtection="1">
      <alignment vertical="center"/>
      <protection hidden="1"/>
    </xf>
    <xf numFmtId="0" fontId="45" fillId="0" borderId="0" xfId="16" applyFont="1" applyProtection="1">
      <alignment vertical="center"/>
      <protection hidden="1"/>
    </xf>
    <xf numFmtId="0" fontId="45" fillId="2" borderId="0" xfId="16" applyFont="1" applyFill="1" applyProtection="1">
      <alignment vertical="center"/>
      <protection hidden="1"/>
    </xf>
    <xf numFmtId="0" fontId="44" fillId="0" borderId="0" xfId="16" applyFont="1" applyAlignment="1" applyProtection="1">
      <alignment horizontal="left" vertical="center"/>
      <protection hidden="1"/>
    </xf>
    <xf numFmtId="0" fontId="44" fillId="0" borderId="0" xfId="16" applyFont="1" applyAlignment="1" applyProtection="1">
      <alignment horizontal="right" vertical="center"/>
      <protection hidden="1"/>
    </xf>
    <xf numFmtId="0" fontId="44" fillId="0" borderId="7" xfId="16" applyFont="1" applyBorder="1" applyProtection="1">
      <alignment vertical="center"/>
      <protection hidden="1"/>
    </xf>
    <xf numFmtId="0" fontId="44" fillId="0" borderId="10" xfId="16" applyFont="1" applyBorder="1" applyProtection="1">
      <alignment vertical="center"/>
      <protection hidden="1"/>
    </xf>
    <xf numFmtId="0" fontId="44" fillId="0" borderId="8" xfId="16" applyFont="1" applyBorder="1" applyProtection="1">
      <alignment vertical="center"/>
      <protection hidden="1"/>
    </xf>
    <xf numFmtId="0" fontId="44" fillId="0" borderId="34" xfId="16" applyFont="1" applyBorder="1" applyProtection="1">
      <alignment vertical="center"/>
      <protection hidden="1"/>
    </xf>
    <xf numFmtId="38" fontId="50" fillId="2" borderId="32" xfId="17" applyFont="1" applyFill="1" applyBorder="1" applyAlignment="1" applyProtection="1">
      <alignment vertical="center"/>
      <protection hidden="1"/>
    </xf>
    <xf numFmtId="38" fontId="49" fillId="2" borderId="33" xfId="17" applyFont="1" applyFill="1" applyBorder="1" applyAlignment="1" applyProtection="1">
      <alignment vertical="center"/>
      <protection hidden="1"/>
    </xf>
    <xf numFmtId="0" fontId="50" fillId="2" borderId="32" xfId="16" applyFont="1" applyFill="1" applyBorder="1" applyProtection="1">
      <alignment vertical="center"/>
      <protection hidden="1"/>
    </xf>
    <xf numFmtId="0" fontId="50" fillId="2" borderId="33" xfId="16" applyFont="1" applyFill="1" applyBorder="1" applyProtection="1">
      <alignment vertical="center"/>
      <protection hidden="1"/>
    </xf>
    <xf numFmtId="38" fontId="7" fillId="2" borderId="32" xfId="17" applyFont="1" applyFill="1" applyBorder="1" applyAlignment="1" applyProtection="1">
      <alignment vertical="center"/>
      <protection hidden="1"/>
    </xf>
    <xf numFmtId="38" fontId="7" fillId="2" borderId="33" xfId="17" applyFont="1" applyFill="1" applyBorder="1" applyAlignment="1" applyProtection="1">
      <alignment vertical="center"/>
      <protection hidden="1"/>
    </xf>
    <xf numFmtId="0" fontId="44" fillId="0" borderId="39" xfId="16" applyFont="1" applyBorder="1" applyProtection="1">
      <alignment vertical="center"/>
      <protection hidden="1"/>
    </xf>
    <xf numFmtId="0" fontId="44" fillId="0" borderId="40" xfId="16" applyFont="1" applyBorder="1" applyProtection="1">
      <alignment vertical="center"/>
      <protection hidden="1"/>
    </xf>
    <xf numFmtId="0" fontId="44" fillId="0" borderId="37" xfId="16" applyFont="1" applyBorder="1" applyProtection="1">
      <alignment vertical="center"/>
      <protection hidden="1"/>
    </xf>
    <xf numFmtId="0" fontId="44" fillId="0" borderId="55" xfId="16" applyFont="1" applyBorder="1" applyProtection="1">
      <alignment vertical="center"/>
      <protection hidden="1"/>
    </xf>
    <xf numFmtId="38" fontId="50" fillId="2" borderId="35" xfId="17" applyFont="1" applyFill="1" applyBorder="1" applyAlignment="1" applyProtection="1">
      <alignment vertical="center"/>
      <protection hidden="1"/>
    </xf>
    <xf numFmtId="38" fontId="49" fillId="2" borderId="36" xfId="17" applyFont="1" applyFill="1" applyBorder="1" applyAlignment="1" applyProtection="1">
      <alignment vertical="center"/>
      <protection hidden="1"/>
    </xf>
    <xf numFmtId="0" fontId="50" fillId="2" borderId="35" xfId="16" applyFont="1" applyFill="1" applyBorder="1" applyProtection="1">
      <alignment vertical="center"/>
      <protection hidden="1"/>
    </xf>
    <xf numFmtId="0" fontId="50" fillId="2" borderId="36" xfId="16" applyFont="1" applyFill="1" applyBorder="1" applyProtection="1">
      <alignment vertical="center"/>
      <protection hidden="1"/>
    </xf>
    <xf numFmtId="38" fontId="7" fillId="2" borderId="35" xfId="17" applyFont="1" applyFill="1" applyBorder="1" applyAlignment="1" applyProtection="1">
      <alignment vertical="center"/>
      <protection hidden="1"/>
    </xf>
    <xf numFmtId="38" fontId="7" fillId="2" borderId="36" xfId="17" applyFont="1" applyFill="1" applyBorder="1" applyAlignment="1" applyProtection="1">
      <alignment vertical="center"/>
      <protection hidden="1"/>
    </xf>
    <xf numFmtId="0" fontId="44" fillId="0" borderId="4" xfId="16" applyFont="1" applyBorder="1" applyAlignment="1" applyProtection="1">
      <alignment horizontal="left" vertical="center"/>
      <protection hidden="1"/>
    </xf>
    <xf numFmtId="0" fontId="44" fillId="0" borderId="2" xfId="16" applyFont="1" applyBorder="1" applyAlignment="1" applyProtection="1">
      <alignment horizontal="center" vertical="center"/>
      <protection hidden="1"/>
    </xf>
    <xf numFmtId="0" fontId="44" fillId="0" borderId="6" xfId="16" applyFont="1" applyBorder="1" applyAlignment="1" applyProtection="1">
      <alignment horizontal="left" vertical="center"/>
      <protection hidden="1"/>
    </xf>
    <xf numFmtId="0" fontId="44" fillId="0" borderId="0" xfId="16" applyFont="1" applyAlignment="1" applyProtection="1">
      <alignment horizontal="center" vertical="center"/>
      <protection hidden="1"/>
    </xf>
    <xf numFmtId="0" fontId="44" fillId="0" borderId="31" xfId="16" applyFont="1" applyBorder="1" applyProtection="1">
      <alignment vertical="center"/>
      <protection hidden="1"/>
    </xf>
    <xf numFmtId="0" fontId="44" fillId="14" borderId="0" xfId="16" applyFont="1" applyFill="1" applyProtection="1">
      <alignment vertical="center"/>
      <protection hidden="1"/>
    </xf>
    <xf numFmtId="0" fontId="44" fillId="0" borderId="29" xfId="16" applyFont="1" applyBorder="1" applyProtection="1">
      <alignment vertical="center"/>
      <protection hidden="1"/>
    </xf>
    <xf numFmtId="0" fontId="44" fillId="0" borderId="47" xfId="16" applyFont="1" applyBorder="1" applyProtection="1">
      <alignment vertical="center"/>
      <protection hidden="1"/>
    </xf>
    <xf numFmtId="0" fontId="44" fillId="17" borderId="4" xfId="16" applyFont="1" applyFill="1" applyBorder="1" applyProtection="1">
      <alignment vertical="center"/>
      <protection hidden="1"/>
    </xf>
    <xf numFmtId="0" fontId="44" fillId="17" borderId="2" xfId="16" applyFont="1" applyFill="1" applyBorder="1" applyProtection="1">
      <alignment vertical="center"/>
      <protection hidden="1"/>
    </xf>
    <xf numFmtId="0" fontId="44" fillId="17" borderId="3" xfId="16" applyFont="1" applyFill="1" applyBorder="1" applyProtection="1">
      <alignment vertical="center"/>
      <protection hidden="1"/>
    </xf>
    <xf numFmtId="0" fontId="44" fillId="17" borderId="6" xfId="16" applyFont="1" applyFill="1" applyBorder="1" applyProtection="1">
      <alignment vertical="center"/>
      <protection hidden="1"/>
    </xf>
    <xf numFmtId="0" fontId="44" fillId="17" borderId="0" xfId="16" applyFont="1" applyFill="1" applyProtection="1">
      <alignment vertical="center"/>
      <protection hidden="1"/>
    </xf>
    <xf numFmtId="0" fontId="44" fillId="17" borderId="5" xfId="16" applyFont="1" applyFill="1" applyBorder="1" applyProtection="1">
      <alignment vertical="center"/>
      <protection hidden="1"/>
    </xf>
    <xf numFmtId="38" fontId="0" fillId="2" borderId="35" xfId="17" applyFont="1" applyFill="1" applyBorder="1" applyAlignment="1" applyProtection="1">
      <alignment vertical="center"/>
      <protection hidden="1"/>
    </xf>
    <xf numFmtId="0" fontId="44" fillId="17" borderId="10" xfId="16" applyFont="1" applyFill="1" applyBorder="1" applyProtection="1">
      <alignment vertical="center"/>
      <protection hidden="1"/>
    </xf>
    <xf numFmtId="0" fontId="44" fillId="17" borderId="7" xfId="16" applyFont="1" applyFill="1" applyBorder="1" applyProtection="1">
      <alignment vertical="center"/>
      <protection hidden="1"/>
    </xf>
    <xf numFmtId="0" fontId="44" fillId="17" borderId="4" xfId="16" applyFont="1" applyFill="1" applyBorder="1" applyAlignment="1" applyProtection="1">
      <alignment horizontal="left" vertical="center"/>
      <protection hidden="1"/>
    </xf>
    <xf numFmtId="0" fontId="44" fillId="17" borderId="2" xfId="16" applyFont="1" applyFill="1" applyBorder="1" applyAlignment="1" applyProtection="1">
      <alignment horizontal="center" vertical="center"/>
      <protection hidden="1"/>
    </xf>
    <xf numFmtId="0" fontId="44" fillId="17" borderId="6" xfId="16" applyFont="1" applyFill="1" applyBorder="1" applyAlignment="1" applyProtection="1">
      <alignment horizontal="left" vertical="center"/>
      <protection hidden="1"/>
    </xf>
    <xf numFmtId="0" fontId="44" fillId="17" borderId="0" xfId="16" applyFont="1" applyFill="1" applyAlignment="1" applyProtection="1">
      <alignment horizontal="center" vertical="center"/>
      <protection hidden="1"/>
    </xf>
    <xf numFmtId="0" fontId="44" fillId="17" borderId="0" xfId="16" applyFont="1" applyFill="1" applyAlignment="1" applyProtection="1">
      <alignment horizontal="right" vertical="center"/>
      <protection hidden="1"/>
    </xf>
    <xf numFmtId="0" fontId="44" fillId="17" borderId="29" xfId="16" applyFont="1" applyFill="1" applyBorder="1" applyProtection="1">
      <alignment vertical="center"/>
      <protection hidden="1"/>
    </xf>
    <xf numFmtId="0" fontId="44" fillId="17" borderId="47" xfId="16" applyFont="1" applyFill="1" applyBorder="1" applyProtection="1">
      <alignment vertical="center"/>
      <protection hidden="1"/>
    </xf>
    <xf numFmtId="0" fontId="44" fillId="17" borderId="31" xfId="16" applyFont="1" applyFill="1" applyBorder="1" applyProtection="1">
      <alignment vertical="center"/>
      <protection hidden="1"/>
    </xf>
    <xf numFmtId="3" fontId="19" fillId="0" borderId="0" xfId="2" applyNumberFormat="1" applyFont="1" applyAlignment="1" applyProtection="1">
      <alignment vertical="center"/>
      <protection hidden="1"/>
    </xf>
    <xf numFmtId="0" fontId="20" fillId="0" borderId="0" xfId="2" applyFont="1" applyProtection="1">
      <protection hidden="1"/>
    </xf>
    <xf numFmtId="0" fontId="18" fillId="0" borderId="0" xfId="2" applyFont="1" applyProtection="1">
      <protection hidden="1"/>
    </xf>
    <xf numFmtId="0" fontId="9" fillId="0" borderId="0" xfId="2" applyFont="1" applyProtection="1">
      <protection hidden="1"/>
    </xf>
    <xf numFmtId="0" fontId="7" fillId="0" borderId="0" xfId="2" applyProtection="1">
      <protection hidden="1"/>
    </xf>
    <xf numFmtId="0" fontId="19" fillId="0" borderId="0" xfId="2" applyFont="1" applyProtection="1">
      <protection hidden="1"/>
    </xf>
    <xf numFmtId="0" fontId="21" fillId="0" borderId="0" xfId="2" applyFont="1" applyProtection="1">
      <protection hidden="1"/>
    </xf>
    <xf numFmtId="3" fontId="20" fillId="0" borderId="0" xfId="2" applyNumberFormat="1" applyFont="1" applyAlignment="1" applyProtection="1">
      <alignment vertical="center"/>
      <protection hidden="1"/>
    </xf>
    <xf numFmtId="0" fontId="22" fillId="0" borderId="0" xfId="2" applyFont="1" applyProtection="1">
      <protection hidden="1"/>
    </xf>
    <xf numFmtId="180" fontId="23" fillId="0" borderId="0" xfId="1" applyNumberFormat="1" applyFont="1" applyFill="1" applyBorder="1" applyAlignment="1" applyProtection="1">
      <protection hidden="1"/>
    </xf>
    <xf numFmtId="0" fontId="0" fillId="0" borderId="11" xfId="2" applyFont="1" applyBorder="1" applyAlignment="1" applyProtection="1">
      <alignment horizontal="centerContinuous"/>
      <protection hidden="1"/>
    </xf>
    <xf numFmtId="0" fontId="0" fillId="0" borderId="1" xfId="2" applyFont="1" applyBorder="1" applyAlignment="1" applyProtection="1">
      <alignment horizontal="centerContinuous"/>
      <protection hidden="1"/>
    </xf>
    <xf numFmtId="38" fontId="51" fillId="2" borderId="35" xfId="17" applyFont="1" applyFill="1" applyBorder="1" applyAlignment="1" applyProtection="1">
      <alignment vertical="center"/>
      <protection hidden="1"/>
    </xf>
    <xf numFmtId="38" fontId="51" fillId="2" borderId="36" xfId="17" applyFont="1" applyFill="1" applyBorder="1" applyAlignment="1" applyProtection="1">
      <alignment vertical="center"/>
      <protection hidden="1"/>
    </xf>
    <xf numFmtId="38" fontId="53" fillId="2" borderId="32" xfId="17" applyFont="1" applyFill="1" applyBorder="1" applyAlignment="1" applyProtection="1">
      <alignment vertical="center"/>
      <protection hidden="1"/>
    </xf>
    <xf numFmtId="38" fontId="53" fillId="2" borderId="33" xfId="17" applyFont="1" applyFill="1" applyBorder="1" applyAlignment="1" applyProtection="1">
      <alignment vertical="center"/>
      <protection hidden="1"/>
    </xf>
    <xf numFmtId="38" fontId="53" fillId="2" borderId="35" xfId="17" applyFont="1" applyFill="1" applyBorder="1" applyAlignment="1" applyProtection="1">
      <alignment vertical="center"/>
      <protection hidden="1"/>
    </xf>
    <xf numFmtId="38" fontId="53" fillId="2" borderId="36" xfId="17" applyFont="1" applyFill="1" applyBorder="1" applyAlignment="1" applyProtection="1">
      <alignment vertical="center"/>
      <protection hidden="1"/>
    </xf>
    <xf numFmtId="0" fontId="53" fillId="2" borderId="32" xfId="16" applyFont="1" applyFill="1" applyBorder="1" applyProtection="1">
      <alignment vertical="center"/>
      <protection hidden="1"/>
    </xf>
    <xf numFmtId="0" fontId="53" fillId="2" borderId="33" xfId="16" applyFont="1" applyFill="1" applyBorder="1" applyProtection="1">
      <alignment vertical="center"/>
      <protection hidden="1"/>
    </xf>
    <xf numFmtId="0" fontId="53" fillId="2" borderId="35" xfId="16" applyFont="1" applyFill="1" applyBorder="1" applyProtection="1">
      <alignment vertical="center"/>
      <protection hidden="1"/>
    </xf>
    <xf numFmtId="0" fontId="53" fillId="2" borderId="36" xfId="16" applyFont="1" applyFill="1" applyBorder="1" applyProtection="1">
      <alignment vertical="center"/>
      <protection hidden="1"/>
    </xf>
    <xf numFmtId="38" fontId="51" fillId="2" borderId="32" xfId="17" applyFont="1" applyFill="1" applyBorder="1" applyAlignment="1" applyProtection="1">
      <alignment vertical="center"/>
      <protection hidden="1"/>
    </xf>
    <xf numFmtId="38" fontId="51" fillId="2" borderId="33" xfId="17" applyFont="1" applyFill="1" applyBorder="1" applyAlignment="1" applyProtection="1">
      <alignment vertical="center"/>
      <protection hidden="1"/>
    </xf>
    <xf numFmtId="3" fontId="16" fillId="0" borderId="0" xfId="1" applyNumberFormat="1" applyFont="1" applyFill="1" applyBorder="1" applyAlignment="1" applyProtection="1">
      <alignment horizontal="right" vertical="center"/>
      <protection hidden="1"/>
    </xf>
    <xf numFmtId="3" fontId="16" fillId="0" borderId="0" xfId="1" quotePrefix="1" applyNumberFormat="1" applyFont="1" applyFill="1" applyBorder="1" applyAlignment="1" applyProtection="1">
      <alignment horizontal="right" vertical="center"/>
      <protection hidden="1"/>
    </xf>
    <xf numFmtId="3" fontId="16" fillId="0" borderId="0" xfId="0" applyNumberFormat="1" applyFont="1" applyAlignment="1" applyProtection="1">
      <alignment horizontal="right" vertical="center"/>
      <protection hidden="1"/>
    </xf>
    <xf numFmtId="181" fontId="24" fillId="2" borderId="16" xfId="3" applyNumberFormat="1" applyFont="1" applyFill="1" applyBorder="1" applyAlignment="1" applyProtection="1">
      <alignment horizontal="center" vertical="center"/>
      <protection hidden="1"/>
    </xf>
    <xf numFmtId="181" fontId="24" fillId="2" borderId="17" xfId="3" applyNumberFormat="1" applyFont="1" applyFill="1" applyBorder="1" applyAlignment="1" applyProtection="1">
      <alignment horizontal="center" vertical="center"/>
      <protection hidden="1"/>
    </xf>
    <xf numFmtId="181" fontId="24" fillId="2" borderId="56" xfId="3" applyNumberFormat="1" applyFont="1" applyFill="1" applyBorder="1" applyAlignment="1" applyProtection="1">
      <alignment horizontal="center" vertical="center"/>
      <protection hidden="1"/>
    </xf>
    <xf numFmtId="0" fontId="16" fillId="0" borderId="14" xfId="0" applyFont="1" applyBorder="1" applyAlignment="1" applyProtection="1">
      <alignment horizontal="center" vertical="center"/>
      <protection hidden="1"/>
    </xf>
    <xf numFmtId="0" fontId="16" fillId="0" borderId="6" xfId="0" applyFont="1" applyBorder="1" applyAlignment="1" applyProtection="1">
      <alignment horizontal="center" vertical="center"/>
      <protection hidden="1"/>
    </xf>
    <xf numFmtId="0" fontId="31" fillId="0" borderId="0" xfId="3" applyFont="1" applyProtection="1">
      <alignment vertical="center"/>
      <protection hidden="1"/>
    </xf>
    <xf numFmtId="0" fontId="27" fillId="15" borderId="0" xfId="3" applyFont="1" applyFill="1" applyAlignment="1" applyProtection="1">
      <alignment horizontal="center" vertical="center"/>
      <protection hidden="1"/>
    </xf>
    <xf numFmtId="0" fontId="27" fillId="15" borderId="0" xfId="3" applyFont="1" applyFill="1" applyProtection="1">
      <alignment vertical="center"/>
      <protection hidden="1"/>
    </xf>
    <xf numFmtId="0" fontId="30" fillId="0" borderId="0" xfId="0" applyFont="1" applyProtection="1">
      <alignment vertical="center"/>
      <protection hidden="1"/>
    </xf>
    <xf numFmtId="0" fontId="39" fillId="0" borderId="0" xfId="3" applyFont="1" applyProtection="1">
      <alignment vertical="center"/>
      <protection hidden="1"/>
    </xf>
    <xf numFmtId="178" fontId="24" fillId="15" borderId="0" xfId="3" applyNumberFormat="1" applyFont="1" applyFill="1" applyProtection="1">
      <alignment vertical="center"/>
      <protection hidden="1"/>
    </xf>
    <xf numFmtId="0" fontId="24" fillId="15" borderId="0" xfId="3" applyFont="1" applyFill="1" applyAlignment="1" applyProtection="1">
      <alignment horizontal="center" vertical="center" wrapText="1"/>
      <protection hidden="1"/>
    </xf>
    <xf numFmtId="14" fontId="16" fillId="0" borderId="0" xfId="0" applyNumberFormat="1" applyFont="1" applyAlignment="1" applyProtection="1">
      <alignment horizontal="center" vertical="center"/>
      <protection hidden="1"/>
    </xf>
    <xf numFmtId="0" fontId="24" fillId="15" borderId="0" xfId="3" applyFont="1" applyFill="1" applyProtection="1">
      <alignment vertical="center"/>
      <protection hidden="1"/>
    </xf>
    <xf numFmtId="0" fontId="27" fillId="6" borderId="3" xfId="3" applyFont="1" applyFill="1" applyBorder="1" applyAlignment="1" applyProtection="1">
      <alignment horizontal="center" vertical="center"/>
      <protection hidden="1"/>
    </xf>
    <xf numFmtId="0" fontId="16" fillId="6" borderId="3" xfId="0" applyFont="1" applyFill="1" applyBorder="1" applyProtection="1">
      <alignment vertical="center"/>
      <protection hidden="1"/>
    </xf>
    <xf numFmtId="0" fontId="30" fillId="0" borderId="6" xfId="0" applyFont="1" applyBorder="1" applyProtection="1">
      <alignment vertical="center"/>
      <protection hidden="1"/>
    </xf>
    <xf numFmtId="3" fontId="16" fillId="0" borderId="6" xfId="0" applyNumberFormat="1" applyFont="1" applyBorder="1" applyAlignment="1" applyProtection="1">
      <alignment horizontal="right" vertical="center"/>
      <protection hidden="1"/>
    </xf>
    <xf numFmtId="0" fontId="16" fillId="0" borderId="5" xfId="0" applyFont="1" applyBorder="1" applyProtection="1">
      <alignment vertical="center"/>
      <protection hidden="1"/>
    </xf>
    <xf numFmtId="0" fontId="16" fillId="0" borderId="7" xfId="0" applyFont="1" applyBorder="1" applyProtection="1">
      <alignment vertical="center"/>
      <protection hidden="1"/>
    </xf>
    <xf numFmtId="0" fontId="16" fillId="0" borderId="4" xfId="0" applyFont="1" applyBorder="1" applyProtection="1">
      <alignment vertical="center"/>
      <protection hidden="1"/>
    </xf>
    <xf numFmtId="0" fontId="16" fillId="0" borderId="14" xfId="0" applyFont="1" applyBorder="1" applyProtection="1">
      <alignment vertical="center"/>
      <protection hidden="1"/>
    </xf>
    <xf numFmtId="0" fontId="16" fillId="0" borderId="13" xfId="0" applyFont="1" applyBorder="1" applyProtection="1">
      <alignment vertical="center"/>
      <protection hidden="1"/>
    </xf>
    <xf numFmtId="3" fontId="24" fillId="0" borderId="0" xfId="3" applyNumberFormat="1" applyFont="1" applyProtection="1">
      <alignment vertical="center"/>
      <protection hidden="1"/>
    </xf>
    <xf numFmtId="3" fontId="24" fillId="0" borderId="0" xfId="3" applyNumberFormat="1" applyFont="1" applyAlignment="1" applyProtection="1">
      <alignment horizontal="center" vertical="center"/>
      <protection hidden="1"/>
    </xf>
    <xf numFmtId="0" fontId="27" fillId="6" borderId="12" xfId="3" applyFont="1" applyFill="1" applyBorder="1" applyProtection="1">
      <alignment vertical="center"/>
      <protection hidden="1"/>
    </xf>
    <xf numFmtId="0" fontId="24" fillId="0" borderId="0" xfId="3" applyFont="1" applyAlignment="1" applyProtection="1">
      <alignment horizontal="left" vertical="center"/>
      <protection hidden="1"/>
    </xf>
    <xf numFmtId="0" fontId="32" fillId="0" borderId="0" xfId="3" applyFont="1" applyAlignment="1" applyProtection="1">
      <alignment vertical="center" wrapText="1"/>
      <protection hidden="1"/>
    </xf>
    <xf numFmtId="0" fontId="29" fillId="0" borderId="0" xfId="3" applyFont="1" applyAlignment="1" applyProtection="1">
      <alignment horizontal="center" vertical="center"/>
      <protection hidden="1"/>
    </xf>
    <xf numFmtId="0" fontId="24" fillId="0" borderId="4" xfId="3" applyFont="1" applyBorder="1" applyAlignment="1" applyProtection="1">
      <alignment horizontal="left" vertical="center"/>
      <protection hidden="1"/>
    </xf>
    <xf numFmtId="0" fontId="24" fillId="0" borderId="2" xfId="3" applyFont="1" applyBorder="1" applyAlignment="1" applyProtection="1">
      <alignment horizontal="left" vertical="center"/>
      <protection hidden="1"/>
    </xf>
    <xf numFmtId="0" fontId="24" fillId="0" borderId="10" xfId="3" applyFont="1" applyBorder="1" applyAlignment="1" applyProtection="1">
      <alignment horizontal="left" vertical="center"/>
      <protection hidden="1"/>
    </xf>
    <xf numFmtId="0" fontId="24" fillId="0" borderId="8" xfId="3" applyFont="1" applyBorder="1" applyAlignment="1" applyProtection="1">
      <alignment horizontal="left" vertical="center"/>
      <protection hidden="1"/>
    </xf>
    <xf numFmtId="0" fontId="24" fillId="0" borderId="0" xfId="3" applyFont="1" applyAlignment="1" applyProtection="1">
      <alignment horizontal="center" vertical="center" wrapText="1"/>
      <protection hidden="1"/>
    </xf>
    <xf numFmtId="0" fontId="27" fillId="0" borderId="0" xfId="3" applyFont="1" applyAlignment="1" applyProtection="1">
      <alignment horizontal="center" vertical="center"/>
      <protection hidden="1"/>
    </xf>
    <xf numFmtId="0" fontId="16" fillId="0" borderId="0" xfId="0" applyFont="1" applyAlignment="1" applyProtection="1">
      <alignment horizontal="center" vertical="center"/>
      <protection hidden="1"/>
    </xf>
    <xf numFmtId="0" fontId="25"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16" fillId="0" borderId="28" xfId="0" applyFont="1" applyBorder="1" applyAlignment="1" applyProtection="1">
      <alignment horizontal="center" vertical="center"/>
      <protection hidden="1"/>
    </xf>
    <xf numFmtId="0" fontId="16" fillId="0" borderId="27" xfId="0" applyFont="1" applyBorder="1" applyAlignment="1" applyProtection="1">
      <alignment horizontal="center" vertical="center"/>
      <protection hidden="1"/>
    </xf>
    <xf numFmtId="0" fontId="32" fillId="0" borderId="0" xfId="3" applyFont="1" applyAlignment="1" applyProtection="1">
      <alignment horizontal="center" vertical="center" wrapText="1"/>
      <protection hidden="1"/>
    </xf>
    <xf numFmtId="0" fontId="29" fillId="0" borderId="0" xfId="3" applyFont="1" applyProtection="1">
      <alignment vertical="center"/>
      <protection hidden="1"/>
    </xf>
    <xf numFmtId="0" fontId="27" fillId="15" borderId="5" xfId="3" applyFont="1" applyFill="1" applyBorder="1" applyAlignment="1" applyProtection="1">
      <alignment horizontal="center" vertical="center"/>
      <protection hidden="1"/>
    </xf>
    <xf numFmtId="0" fontId="27" fillId="15" borderId="7" xfId="3" applyFont="1" applyFill="1" applyBorder="1" applyAlignment="1" applyProtection="1">
      <alignment horizontal="center" vertical="center"/>
      <protection hidden="1"/>
    </xf>
    <xf numFmtId="0" fontId="25" fillId="0" borderId="6" xfId="0" applyFont="1" applyBorder="1" applyProtection="1">
      <alignment vertical="center"/>
      <protection hidden="1"/>
    </xf>
    <xf numFmtId="0" fontId="27" fillId="0" borderId="58" xfId="3" applyFont="1" applyBorder="1" applyProtection="1">
      <alignment vertical="center"/>
      <protection hidden="1"/>
    </xf>
    <xf numFmtId="178" fontId="24" fillId="0" borderId="6" xfId="3" applyNumberFormat="1" applyFont="1" applyBorder="1" applyProtection="1">
      <alignment vertical="center"/>
      <protection hidden="1"/>
    </xf>
    <xf numFmtId="178" fontId="24" fillId="0" borderId="0" xfId="3" applyNumberFormat="1" applyFont="1" applyAlignment="1" applyProtection="1">
      <alignment horizontal="center" vertical="center"/>
      <protection hidden="1"/>
    </xf>
    <xf numFmtId="181" fontId="16" fillId="0" borderId="0" xfId="0" applyNumberFormat="1" applyFont="1" applyProtection="1">
      <alignment vertical="center"/>
      <protection hidden="1"/>
    </xf>
    <xf numFmtId="3" fontId="16" fillId="0" borderId="0" xfId="0" applyNumberFormat="1" applyFont="1" applyProtection="1">
      <alignment vertical="center"/>
      <protection hidden="1"/>
    </xf>
    <xf numFmtId="181" fontId="16" fillId="0" borderId="0" xfId="0" applyNumberFormat="1" applyFont="1" applyAlignment="1" applyProtection="1">
      <alignment horizontal="center" vertical="center"/>
      <protection hidden="1"/>
    </xf>
    <xf numFmtId="181" fontId="16" fillId="0" borderId="6" xfId="0" applyNumberFormat="1" applyFont="1" applyBorder="1" applyAlignment="1" applyProtection="1">
      <alignment horizontal="center" vertical="center"/>
      <protection hidden="1"/>
    </xf>
    <xf numFmtId="181" fontId="16" fillId="0" borderId="6" xfId="0" applyNumberFormat="1" applyFont="1" applyBorder="1" applyProtection="1">
      <alignment vertical="center"/>
      <protection hidden="1"/>
    </xf>
    <xf numFmtId="0" fontId="16" fillId="0" borderId="6" xfId="0" applyFont="1" applyBorder="1" applyAlignment="1" applyProtection="1">
      <alignment vertical="top"/>
      <protection hidden="1"/>
    </xf>
    <xf numFmtId="0" fontId="16" fillId="0" borderId="0" xfId="0" applyFont="1" applyAlignment="1" applyProtection="1">
      <alignment horizontal="left" vertical="top"/>
      <protection hidden="1"/>
    </xf>
    <xf numFmtId="0" fontId="7" fillId="0" borderId="2" xfId="2" applyBorder="1" applyProtection="1">
      <protection hidden="1"/>
    </xf>
    <xf numFmtId="0" fontId="51" fillId="2" borderId="33" xfId="16" applyFont="1" applyFill="1" applyBorder="1" applyProtection="1">
      <alignment vertical="center"/>
      <protection hidden="1"/>
    </xf>
    <xf numFmtId="0" fontId="51" fillId="2" borderId="36" xfId="16" applyFont="1" applyFill="1" applyBorder="1" applyProtection="1">
      <alignment vertical="center"/>
      <protection hidden="1"/>
    </xf>
    <xf numFmtId="0" fontId="24" fillId="2" borderId="16" xfId="3" applyFont="1" applyFill="1" applyBorder="1" applyProtection="1">
      <alignment vertical="center"/>
      <protection hidden="1"/>
    </xf>
    <xf numFmtId="0" fontId="24" fillId="2" borderId="56" xfId="3" applyFont="1" applyFill="1" applyBorder="1" applyProtection="1">
      <alignment vertical="center"/>
      <protection hidden="1"/>
    </xf>
    <xf numFmtId="0" fontId="24" fillId="2" borderId="17" xfId="3" applyFont="1" applyFill="1" applyBorder="1" applyProtection="1">
      <alignment vertical="center"/>
      <protection hidden="1"/>
    </xf>
    <xf numFmtId="0" fontId="7" fillId="0" borderId="11" xfId="2" applyBorder="1" applyAlignment="1" applyProtection="1">
      <alignment horizontal="center"/>
      <protection hidden="1"/>
    </xf>
    <xf numFmtId="0" fontId="0" fillId="0" borderId="11" xfId="2" applyFont="1" applyBorder="1" applyAlignment="1" applyProtection="1">
      <alignment horizontal="center"/>
      <protection hidden="1"/>
    </xf>
    <xf numFmtId="0" fontId="0" fillId="0" borderId="1" xfId="2" applyFont="1" applyBorder="1" applyAlignment="1" applyProtection="1">
      <alignment horizontal="center"/>
      <protection hidden="1"/>
    </xf>
    <xf numFmtId="0" fontId="51" fillId="2" borderId="36" xfId="17" applyNumberFormat="1" applyFont="1" applyFill="1" applyBorder="1" applyAlignment="1" applyProtection="1">
      <alignment horizontal="right" vertical="center"/>
      <protection hidden="1"/>
    </xf>
    <xf numFmtId="0" fontId="51" fillId="2" borderId="33" xfId="17" applyNumberFormat="1" applyFont="1" applyFill="1" applyBorder="1" applyAlignment="1" applyProtection="1">
      <alignment horizontal="right" vertical="center"/>
      <protection hidden="1"/>
    </xf>
    <xf numFmtId="0" fontId="44" fillId="7" borderId="0" xfId="16" applyFont="1" applyFill="1" applyProtection="1">
      <alignment vertical="center"/>
      <protection hidden="1"/>
    </xf>
    <xf numFmtId="0" fontId="7" fillId="2" borderId="33" xfId="17" applyNumberFormat="1" applyFont="1" applyFill="1" applyBorder="1" applyAlignment="1" applyProtection="1">
      <alignment horizontal="right" vertical="center"/>
      <protection hidden="1"/>
    </xf>
    <xf numFmtId="0" fontId="7" fillId="2" borderId="36" xfId="17" applyNumberFormat="1" applyFont="1" applyFill="1" applyBorder="1" applyAlignment="1" applyProtection="1">
      <alignment horizontal="right" vertical="center"/>
      <protection hidden="1"/>
    </xf>
    <xf numFmtId="0" fontId="44" fillId="2" borderId="33" xfId="16" applyFont="1" applyFill="1" applyBorder="1" applyProtection="1">
      <alignment vertical="center"/>
      <protection hidden="1"/>
    </xf>
    <xf numFmtId="0" fontId="44" fillId="2" borderId="36" xfId="16" applyFont="1" applyFill="1" applyBorder="1" applyProtection="1">
      <alignment vertical="center"/>
      <protection hidden="1"/>
    </xf>
    <xf numFmtId="0" fontId="24" fillId="0" borderId="11" xfId="3" applyFont="1" applyBorder="1" applyProtection="1">
      <alignment vertical="center"/>
      <protection locked="0" hidden="1"/>
    </xf>
    <xf numFmtId="0" fontId="24" fillId="0" borderId="9" xfId="3" applyFont="1" applyBorder="1" applyProtection="1">
      <alignment vertical="center"/>
      <protection locked="0" hidden="1"/>
    </xf>
    <xf numFmtId="14" fontId="16" fillId="3" borderId="1" xfId="0" applyNumberFormat="1" applyFont="1" applyFill="1" applyBorder="1" applyProtection="1">
      <alignment vertical="center"/>
      <protection locked="0"/>
    </xf>
    <xf numFmtId="0" fontId="16" fillId="3" borderId="1" xfId="0" applyFont="1" applyFill="1" applyBorder="1" applyProtection="1">
      <alignment vertical="center"/>
      <protection locked="0"/>
    </xf>
    <xf numFmtId="0" fontId="16" fillId="0" borderId="1" xfId="0" applyFont="1" applyBorder="1" applyAlignment="1" applyProtection="1">
      <alignment horizontal="center" vertical="center"/>
      <protection hidden="1"/>
    </xf>
    <xf numFmtId="0" fontId="16" fillId="2" borderId="1" xfId="1" quotePrefix="1" applyNumberFormat="1" applyFont="1" applyFill="1" applyBorder="1" applyAlignment="1" applyProtection="1">
      <alignment horizontal="right" vertical="center"/>
      <protection hidden="1"/>
    </xf>
    <xf numFmtId="0" fontId="16" fillId="2" borderId="1" xfId="1" applyNumberFormat="1" applyFont="1" applyFill="1" applyBorder="1" applyAlignment="1" applyProtection="1">
      <alignment horizontal="right" vertical="center"/>
      <protection hidden="1"/>
    </xf>
    <xf numFmtId="181" fontId="16" fillId="5" borderId="11" xfId="0" applyNumberFormat="1" applyFont="1" applyFill="1" applyBorder="1" applyAlignment="1" applyProtection="1">
      <alignment horizontal="center" vertical="center"/>
      <protection locked="0"/>
    </xf>
    <xf numFmtId="181" fontId="16" fillId="5" borderId="12" xfId="0" applyNumberFormat="1" applyFont="1" applyFill="1" applyBorder="1" applyAlignment="1" applyProtection="1">
      <alignment horizontal="center" vertical="center"/>
      <protection locked="0"/>
    </xf>
    <xf numFmtId="181" fontId="16" fillId="5" borderId="1" xfId="0" applyNumberFormat="1" applyFont="1" applyFill="1" applyBorder="1" applyProtection="1">
      <alignment vertical="center"/>
      <protection locked="0"/>
    </xf>
    <xf numFmtId="0" fontId="25" fillId="7" borderId="1" xfId="0" applyFont="1" applyFill="1" applyBorder="1" applyAlignment="1" applyProtection="1">
      <alignment horizontal="center" vertical="center"/>
      <protection hidden="1"/>
    </xf>
    <xf numFmtId="181" fontId="16" fillId="5" borderId="1" xfId="0" applyNumberFormat="1" applyFont="1" applyFill="1" applyBorder="1" applyAlignment="1" applyProtection="1">
      <alignment horizontal="center" vertical="center"/>
      <protection locked="0"/>
    </xf>
    <xf numFmtId="0" fontId="16" fillId="3" borderId="1" xfId="0" applyFont="1" applyFill="1" applyBorder="1" applyAlignment="1" applyProtection="1">
      <alignment horizontal="center" vertical="center"/>
      <protection locked="0"/>
    </xf>
    <xf numFmtId="0" fontId="24" fillId="5" borderId="4" xfId="3" applyFont="1" applyFill="1" applyBorder="1" applyAlignment="1" applyProtection="1">
      <alignment horizontal="center" vertical="center"/>
      <protection locked="0"/>
    </xf>
    <xf numFmtId="0" fontId="24" fillId="5" borderId="2" xfId="3" applyFont="1" applyFill="1" applyBorder="1" applyAlignment="1" applyProtection="1">
      <alignment horizontal="center" vertical="center"/>
      <protection locked="0"/>
    </xf>
    <xf numFmtId="0" fontId="24" fillId="5" borderId="3" xfId="3" applyFont="1" applyFill="1" applyBorder="1" applyAlignment="1" applyProtection="1">
      <alignment horizontal="center" vertical="center"/>
      <protection locked="0"/>
    </xf>
    <xf numFmtId="0" fontId="24" fillId="5" borderId="10" xfId="3" applyFont="1" applyFill="1" applyBorder="1" applyAlignment="1" applyProtection="1">
      <alignment horizontal="center" vertical="center"/>
      <protection locked="0"/>
    </xf>
    <xf numFmtId="0" fontId="24" fillId="5" borderId="8" xfId="3" applyFont="1" applyFill="1" applyBorder="1" applyAlignment="1" applyProtection="1">
      <alignment horizontal="center" vertical="center"/>
      <protection locked="0"/>
    </xf>
    <xf numFmtId="0" fontId="24" fillId="5" borderId="7" xfId="3" applyFont="1" applyFill="1" applyBorder="1" applyAlignment="1" applyProtection="1">
      <alignment horizontal="center" vertical="center"/>
      <protection locked="0"/>
    </xf>
    <xf numFmtId="0" fontId="24" fillId="7" borderId="1" xfId="3" applyFont="1" applyFill="1" applyBorder="1" applyAlignment="1" applyProtection="1">
      <alignment horizontal="center" vertical="center"/>
      <protection hidden="1"/>
    </xf>
    <xf numFmtId="0" fontId="24" fillId="3" borderId="1" xfId="3" applyFont="1" applyFill="1" applyBorder="1" applyAlignment="1" applyProtection="1">
      <alignment horizontal="center" vertical="center"/>
      <protection locked="0"/>
    </xf>
    <xf numFmtId="0" fontId="24" fillId="5" borderId="1" xfId="3" applyFont="1" applyFill="1" applyBorder="1" applyAlignment="1" applyProtection="1">
      <alignment horizontal="center" vertical="center"/>
      <protection locked="0"/>
    </xf>
    <xf numFmtId="178" fontId="24" fillId="5" borderId="11" xfId="3" applyNumberFormat="1" applyFont="1" applyFill="1" applyBorder="1" applyProtection="1">
      <alignment vertical="center"/>
      <protection locked="0"/>
    </xf>
    <xf numFmtId="178" fontId="24" fillId="5" borderId="9" xfId="3" applyNumberFormat="1" applyFont="1" applyFill="1" applyBorder="1" applyProtection="1">
      <alignment vertical="center"/>
      <protection locked="0"/>
    </xf>
    <xf numFmtId="0" fontId="27" fillId="6" borderId="11" xfId="3" applyFont="1" applyFill="1" applyBorder="1" applyAlignment="1" applyProtection="1">
      <alignment horizontal="left" vertical="center"/>
      <protection hidden="1"/>
    </xf>
    <xf numFmtId="0" fontId="27" fillId="6" borderId="9" xfId="3" applyFont="1" applyFill="1" applyBorder="1" applyAlignment="1" applyProtection="1">
      <alignment horizontal="left" vertical="center"/>
      <protection hidden="1"/>
    </xf>
    <xf numFmtId="0" fontId="27" fillId="6" borderId="12" xfId="3" applyFont="1" applyFill="1" applyBorder="1" applyAlignment="1" applyProtection="1">
      <alignment horizontal="left" vertical="center"/>
      <protection hidden="1"/>
    </xf>
    <xf numFmtId="0" fontId="24" fillId="7" borderId="11" xfId="3" applyFont="1" applyFill="1" applyBorder="1" applyAlignment="1" applyProtection="1">
      <alignment horizontal="center" vertical="center"/>
      <protection hidden="1"/>
    </xf>
    <xf numFmtId="0" fontId="24" fillId="7" borderId="12" xfId="3" applyFont="1" applyFill="1" applyBorder="1" applyAlignment="1" applyProtection="1">
      <alignment horizontal="center" vertical="center"/>
      <protection hidden="1"/>
    </xf>
    <xf numFmtId="0" fontId="24" fillId="7" borderId="9" xfId="3" applyFont="1" applyFill="1" applyBorder="1" applyAlignment="1" applyProtection="1">
      <alignment horizontal="center" vertical="center"/>
      <protection hidden="1"/>
    </xf>
    <xf numFmtId="0" fontId="30" fillId="0" borderId="11" xfId="0" applyFont="1" applyBorder="1" applyProtection="1">
      <alignment vertical="center"/>
      <protection hidden="1"/>
    </xf>
    <xf numFmtId="0" fontId="30" fillId="0" borderId="9" xfId="0" applyFont="1" applyBorder="1" applyProtection="1">
      <alignment vertical="center"/>
      <protection hidden="1"/>
    </xf>
    <xf numFmtId="0" fontId="16" fillId="5" borderId="11" xfId="0" applyFont="1" applyFill="1" applyBorder="1" applyProtection="1">
      <alignment vertical="center"/>
      <protection locked="0"/>
    </xf>
    <xf numFmtId="0" fontId="16" fillId="5" borderId="9" xfId="0" applyFont="1" applyFill="1" applyBorder="1" applyProtection="1">
      <alignment vertical="center"/>
      <protection locked="0"/>
    </xf>
    <xf numFmtId="0" fontId="16" fillId="5" borderId="12" xfId="0" applyFont="1" applyFill="1" applyBorder="1" applyProtection="1">
      <alignment vertical="center"/>
      <protection locked="0"/>
    </xf>
    <xf numFmtId="0" fontId="29" fillId="0" borderId="11" xfId="3" applyFont="1" applyBorder="1" applyProtection="1">
      <alignment vertical="center"/>
      <protection hidden="1"/>
    </xf>
    <xf numFmtId="0" fontId="29" fillId="0" borderId="9" xfId="3" applyFont="1" applyBorder="1" applyProtection="1">
      <alignment vertical="center"/>
      <protection hidden="1"/>
    </xf>
    <xf numFmtId="0" fontId="27" fillId="3" borderId="11" xfId="3" applyFont="1" applyFill="1" applyBorder="1" applyProtection="1">
      <alignment vertical="center"/>
      <protection locked="0"/>
    </xf>
    <xf numFmtId="0" fontId="27" fillId="3" borderId="9" xfId="3" applyFont="1" applyFill="1" applyBorder="1" applyProtection="1">
      <alignment vertical="center"/>
      <protection locked="0"/>
    </xf>
    <xf numFmtId="0" fontId="27" fillId="3" borderId="12" xfId="3" applyFont="1" applyFill="1" applyBorder="1" applyProtection="1">
      <alignment vertical="center"/>
      <protection locked="0"/>
    </xf>
    <xf numFmtId="0" fontId="24" fillId="3" borderId="4" xfId="3" applyFont="1" applyFill="1" applyBorder="1" applyAlignment="1" applyProtection="1">
      <alignment horizontal="center" vertical="center"/>
      <protection locked="0"/>
    </xf>
    <xf numFmtId="0" fontId="24" fillId="3" borderId="3" xfId="3" applyFont="1" applyFill="1" applyBorder="1" applyAlignment="1" applyProtection="1">
      <alignment horizontal="center" vertical="center"/>
      <protection locked="0"/>
    </xf>
    <xf numFmtId="0" fontId="24" fillId="3" borderId="10" xfId="3" applyFont="1" applyFill="1" applyBorder="1" applyAlignment="1" applyProtection="1">
      <alignment horizontal="center" vertical="center"/>
      <protection locked="0"/>
    </xf>
    <xf numFmtId="0" fontId="24" fillId="3" borderId="7" xfId="3" applyFont="1" applyFill="1" applyBorder="1" applyAlignment="1" applyProtection="1">
      <alignment horizontal="center" vertical="center"/>
      <protection locked="0"/>
    </xf>
    <xf numFmtId="0" fontId="29" fillId="0" borderId="12" xfId="3" applyFont="1" applyBorder="1" applyProtection="1">
      <alignment vertical="center"/>
      <protection hidden="1"/>
    </xf>
    <xf numFmtId="0" fontId="33" fillId="3" borderId="18" xfId="3" applyFont="1" applyFill="1" applyBorder="1" applyAlignment="1" applyProtection="1">
      <alignment horizontal="center" vertical="center" wrapText="1"/>
      <protection locked="0"/>
    </xf>
    <xf numFmtId="0" fontId="33" fillId="3" borderId="19" xfId="3" applyFont="1" applyFill="1" applyBorder="1" applyAlignment="1" applyProtection="1">
      <alignment horizontal="center" vertical="center" wrapText="1"/>
      <protection locked="0"/>
    </xf>
    <xf numFmtId="0" fontId="33" fillId="3" borderId="20" xfId="3" applyFont="1" applyFill="1" applyBorder="1" applyAlignment="1" applyProtection="1">
      <alignment horizontal="center" vertical="center" wrapText="1"/>
      <protection locked="0"/>
    </xf>
    <xf numFmtId="0" fontId="33" fillId="3" borderId="21" xfId="3" applyFont="1" applyFill="1" applyBorder="1" applyAlignment="1" applyProtection="1">
      <alignment horizontal="center" vertical="center" wrapText="1"/>
      <protection locked="0"/>
    </xf>
    <xf numFmtId="0" fontId="33" fillId="3" borderId="22" xfId="3" applyFont="1" applyFill="1" applyBorder="1" applyAlignment="1" applyProtection="1">
      <alignment horizontal="center" vertical="center" wrapText="1"/>
      <protection locked="0"/>
    </xf>
    <xf numFmtId="0" fontId="33" fillId="3" borderId="23" xfId="3" applyFont="1" applyFill="1" applyBorder="1" applyAlignment="1" applyProtection="1">
      <alignment horizontal="center" vertical="center" wrapText="1"/>
      <protection locked="0"/>
    </xf>
    <xf numFmtId="0" fontId="27" fillId="3" borderId="24" xfId="3" applyFont="1" applyFill="1" applyBorder="1" applyAlignment="1" applyProtection="1">
      <alignment horizontal="center" vertical="center"/>
      <protection locked="0"/>
    </xf>
    <xf numFmtId="0" fontId="27" fillId="3" borderId="26" xfId="3" applyFont="1" applyFill="1" applyBorder="1" applyAlignment="1" applyProtection="1">
      <alignment horizontal="center" vertical="center"/>
      <protection locked="0"/>
    </xf>
    <xf numFmtId="0" fontId="32" fillId="0" borderId="0" xfId="3" applyFont="1" applyAlignment="1" applyProtection="1">
      <alignment horizontal="center" vertical="center" wrapText="1"/>
      <protection hidden="1"/>
    </xf>
    <xf numFmtId="0" fontId="24" fillId="7" borderId="11" xfId="3" applyFont="1" applyFill="1" applyBorder="1" applyAlignment="1" applyProtection="1">
      <alignment horizontal="left" vertical="center"/>
      <protection hidden="1"/>
    </xf>
    <xf numFmtId="0" fontId="24" fillId="7" borderId="9" xfId="3" applyFont="1" applyFill="1" applyBorder="1" applyAlignment="1" applyProtection="1">
      <alignment horizontal="left" vertical="center"/>
      <protection hidden="1"/>
    </xf>
    <xf numFmtId="0" fontId="24" fillId="7" borderId="12" xfId="3" applyFont="1" applyFill="1" applyBorder="1" applyAlignment="1" applyProtection="1">
      <alignment horizontal="left" vertical="center"/>
      <protection hidden="1"/>
    </xf>
    <xf numFmtId="0" fontId="16" fillId="3" borderId="4" xfId="3" applyFont="1" applyFill="1" applyBorder="1" applyAlignment="1" applyProtection="1">
      <alignment horizontal="center" vertical="center"/>
      <protection locked="0"/>
    </xf>
    <xf numFmtId="0" fontId="16" fillId="3" borderId="3" xfId="3" applyFont="1" applyFill="1" applyBorder="1" applyAlignment="1" applyProtection="1">
      <alignment horizontal="center" vertical="center"/>
      <protection locked="0"/>
    </xf>
    <xf numFmtId="0" fontId="16" fillId="3" borderId="10" xfId="3" applyFont="1" applyFill="1" applyBorder="1" applyAlignment="1" applyProtection="1">
      <alignment horizontal="center" vertical="center"/>
      <protection locked="0"/>
    </xf>
    <xf numFmtId="0" fontId="16" fillId="3" borderId="7" xfId="3" applyFont="1" applyFill="1" applyBorder="1" applyAlignment="1" applyProtection="1">
      <alignment horizontal="center" vertical="center"/>
      <protection locked="0"/>
    </xf>
    <xf numFmtId="0" fontId="24" fillId="7" borderId="11" xfId="3" applyFont="1" applyFill="1" applyBorder="1" applyProtection="1">
      <alignment vertical="center"/>
      <protection hidden="1"/>
    </xf>
    <xf numFmtId="0" fontId="24" fillId="7" borderId="9" xfId="3" applyFont="1" applyFill="1" applyBorder="1" applyProtection="1">
      <alignment vertical="center"/>
      <protection hidden="1"/>
    </xf>
    <xf numFmtId="0" fontId="24" fillId="7" borderId="12" xfId="3" applyFont="1" applyFill="1" applyBorder="1" applyProtection="1">
      <alignment vertical="center"/>
      <protection hidden="1"/>
    </xf>
    <xf numFmtId="0" fontId="27" fillId="0" borderId="11" xfId="3" applyFont="1" applyBorder="1" applyAlignment="1" applyProtection="1">
      <alignment horizontal="center" vertical="center"/>
      <protection hidden="1"/>
    </xf>
    <xf numFmtId="0" fontId="27" fillId="0" borderId="9" xfId="3" applyFont="1" applyBorder="1" applyAlignment="1" applyProtection="1">
      <alignment horizontal="center" vertical="center"/>
      <protection hidden="1"/>
    </xf>
    <xf numFmtId="0" fontId="27" fillId="0" borderId="12" xfId="3" applyFont="1" applyBorder="1" applyAlignment="1" applyProtection="1">
      <alignment horizontal="center" vertical="center"/>
      <protection hidden="1"/>
    </xf>
    <xf numFmtId="0" fontId="16" fillId="0" borderId="11" xfId="0" applyFont="1" applyBorder="1" applyAlignment="1" applyProtection="1">
      <alignment horizontal="center" vertical="center"/>
      <protection hidden="1"/>
    </xf>
    <xf numFmtId="0" fontId="16" fillId="0" borderId="12" xfId="0" applyFont="1" applyBorder="1" applyAlignment="1" applyProtection="1">
      <alignment horizontal="center" vertical="center"/>
      <protection hidden="1"/>
    </xf>
    <xf numFmtId="49" fontId="24" fillId="5" borderId="4" xfId="3" applyNumberFormat="1" applyFont="1" applyFill="1" applyBorder="1" applyAlignment="1" applyProtection="1">
      <alignment horizontal="center" vertical="center"/>
      <protection locked="0"/>
    </xf>
    <xf numFmtId="49" fontId="24" fillId="5" borderId="2" xfId="3" applyNumberFormat="1" applyFont="1" applyFill="1" applyBorder="1" applyAlignment="1" applyProtection="1">
      <alignment horizontal="center" vertical="center"/>
      <protection locked="0"/>
    </xf>
    <xf numFmtId="49" fontId="24" fillId="5" borderId="3" xfId="3" applyNumberFormat="1" applyFont="1" applyFill="1" applyBorder="1" applyAlignment="1" applyProtection="1">
      <alignment horizontal="center" vertical="center"/>
      <protection locked="0"/>
    </xf>
    <xf numFmtId="49" fontId="24" fillId="5" borderId="10" xfId="3" applyNumberFormat="1" applyFont="1" applyFill="1" applyBorder="1" applyAlignment="1" applyProtection="1">
      <alignment horizontal="center" vertical="center"/>
      <protection locked="0"/>
    </xf>
    <xf numFmtId="49" fontId="24" fillId="5" borderId="8" xfId="3" applyNumberFormat="1" applyFont="1" applyFill="1" applyBorder="1" applyAlignment="1" applyProtection="1">
      <alignment horizontal="center" vertical="center"/>
      <protection locked="0"/>
    </xf>
    <xf numFmtId="49" fontId="24" fillId="5" borderId="7" xfId="3" applyNumberFormat="1" applyFont="1" applyFill="1" applyBorder="1" applyAlignment="1" applyProtection="1">
      <alignment horizontal="center" vertical="center"/>
      <protection locked="0"/>
    </xf>
    <xf numFmtId="0" fontId="24" fillId="2" borderId="32" xfId="3" applyFont="1" applyFill="1" applyBorder="1" applyProtection="1">
      <alignment vertical="center"/>
      <protection hidden="1"/>
    </xf>
    <xf numFmtId="0" fontId="24" fillId="2" borderId="34" xfId="3" applyFont="1" applyFill="1" applyBorder="1" applyProtection="1">
      <alignment vertical="center"/>
      <protection hidden="1"/>
    </xf>
    <xf numFmtId="0" fontId="24" fillId="2" borderId="30" xfId="3" applyFont="1" applyFill="1" applyBorder="1" applyProtection="1">
      <alignment vertical="center"/>
      <protection hidden="1"/>
    </xf>
    <xf numFmtId="0" fontId="24" fillId="2" borderId="31" xfId="3" applyFont="1" applyFill="1" applyBorder="1" applyProtection="1">
      <alignment vertical="center"/>
      <protection hidden="1"/>
    </xf>
    <xf numFmtId="0" fontId="16" fillId="2" borderId="16" xfId="1" quotePrefix="1" applyNumberFormat="1" applyFont="1" applyFill="1" applyBorder="1" applyAlignment="1" applyProtection="1">
      <alignment horizontal="right" vertical="center"/>
      <protection hidden="1"/>
    </xf>
    <xf numFmtId="0" fontId="24" fillId="2" borderId="10" xfId="3" applyFont="1" applyFill="1" applyBorder="1" applyProtection="1">
      <alignment vertical="center"/>
      <protection hidden="1"/>
    </xf>
    <xf numFmtId="0" fontId="24" fillId="2" borderId="7" xfId="3" applyFont="1" applyFill="1" applyBorder="1" applyProtection="1">
      <alignment vertical="center"/>
      <protection hidden="1"/>
    </xf>
    <xf numFmtId="0" fontId="16" fillId="5" borderId="4" xfId="0" applyFont="1" applyFill="1" applyBorder="1" applyAlignment="1" applyProtection="1">
      <alignment horizontal="left" vertical="top"/>
      <protection locked="0"/>
    </xf>
    <xf numFmtId="0" fontId="16" fillId="5" borderId="2" xfId="0" applyFont="1" applyFill="1" applyBorder="1" applyAlignment="1" applyProtection="1">
      <alignment horizontal="left" vertical="top"/>
      <protection locked="0"/>
    </xf>
    <xf numFmtId="0" fontId="16" fillId="5" borderId="6" xfId="0" applyFont="1" applyFill="1" applyBorder="1" applyAlignment="1" applyProtection="1">
      <alignment horizontal="left" vertical="top"/>
      <protection locked="0"/>
    </xf>
    <xf numFmtId="0" fontId="16" fillId="5" borderId="0" xfId="0" applyFont="1" applyFill="1" applyAlignment="1" applyProtection="1">
      <alignment horizontal="left" vertical="top"/>
      <protection locked="0"/>
    </xf>
    <xf numFmtId="0" fontId="16" fillId="5" borderId="10" xfId="0" applyFont="1" applyFill="1" applyBorder="1" applyAlignment="1" applyProtection="1">
      <alignment horizontal="left" vertical="top"/>
      <protection locked="0"/>
    </xf>
    <xf numFmtId="0" fontId="16" fillId="5" borderId="8" xfId="0" applyFont="1" applyFill="1" applyBorder="1" applyAlignment="1" applyProtection="1">
      <alignment horizontal="left" vertical="top"/>
      <protection locked="0"/>
    </xf>
    <xf numFmtId="0" fontId="16" fillId="0" borderId="48" xfId="0" applyFont="1" applyBorder="1" applyAlignment="1" applyProtection="1">
      <alignment horizontal="center" vertical="center"/>
      <protection hidden="1"/>
    </xf>
    <xf numFmtId="14" fontId="16" fillId="3" borderId="11" xfId="0" applyNumberFormat="1" applyFont="1" applyFill="1" applyBorder="1" applyProtection="1">
      <alignment vertical="center"/>
      <protection locked="0"/>
    </xf>
    <xf numFmtId="14" fontId="16" fillId="3" borderId="48" xfId="0" applyNumberFormat="1" applyFont="1" applyFill="1" applyBorder="1" applyProtection="1">
      <alignment vertical="center"/>
      <protection locked="0"/>
    </xf>
    <xf numFmtId="0" fontId="16" fillId="0" borderId="57" xfId="0" applyFont="1" applyBorder="1" applyAlignment="1" applyProtection="1">
      <alignment horizontal="center" vertical="center"/>
      <protection hidden="1"/>
    </xf>
    <xf numFmtId="0" fontId="16" fillId="0" borderId="28" xfId="0" applyFont="1" applyBorder="1" applyAlignment="1" applyProtection="1">
      <alignment horizontal="center" vertical="center"/>
      <protection hidden="1"/>
    </xf>
    <xf numFmtId="181" fontId="16" fillId="5" borderId="57" xfId="0" applyNumberFormat="1" applyFont="1" applyFill="1" applyBorder="1" applyAlignment="1" applyProtection="1">
      <alignment horizontal="center" vertical="center"/>
      <protection locked="0"/>
    </xf>
    <xf numFmtId="181" fontId="16" fillId="5" borderId="28" xfId="0" applyNumberFormat="1" applyFont="1" applyFill="1" applyBorder="1" applyAlignment="1" applyProtection="1">
      <alignment horizontal="center" vertical="center"/>
      <protection locked="0"/>
    </xf>
    <xf numFmtId="0" fontId="16" fillId="0" borderId="27" xfId="0" applyFont="1" applyBorder="1" applyAlignment="1" applyProtection="1">
      <alignment horizontal="center" vertical="center"/>
      <protection hidden="1"/>
    </xf>
    <xf numFmtId="3" fontId="16" fillId="5" borderId="28" xfId="0" applyNumberFormat="1" applyFont="1" applyFill="1" applyBorder="1" applyAlignment="1" applyProtection="1">
      <alignment horizontal="right" vertical="center"/>
      <protection locked="0"/>
    </xf>
    <xf numFmtId="3" fontId="16" fillId="5" borderId="27" xfId="0" applyNumberFormat="1" applyFont="1" applyFill="1" applyBorder="1" applyAlignment="1" applyProtection="1">
      <alignment horizontal="right" vertical="center"/>
      <protection locked="0"/>
    </xf>
    <xf numFmtId="0" fontId="27" fillId="7" borderId="11" xfId="3" applyFont="1" applyFill="1" applyBorder="1" applyAlignment="1" applyProtection="1">
      <alignment horizontal="center" vertical="center"/>
      <protection hidden="1"/>
    </xf>
    <xf numFmtId="0" fontId="27" fillId="7" borderId="9" xfId="3" applyFont="1" applyFill="1" applyBorder="1" applyAlignment="1" applyProtection="1">
      <alignment horizontal="center" vertical="center"/>
      <protection hidden="1"/>
    </xf>
    <xf numFmtId="0" fontId="30" fillId="7" borderId="1" xfId="0" applyFont="1" applyFill="1" applyBorder="1" applyAlignment="1" applyProtection="1">
      <alignment horizontal="center" vertical="center"/>
      <protection hidden="1"/>
    </xf>
    <xf numFmtId="0" fontId="16" fillId="0" borderId="52" xfId="0" applyFont="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3" fontId="16" fillId="5" borderId="52" xfId="0" applyNumberFormat="1" applyFont="1" applyFill="1" applyBorder="1" applyAlignment="1" applyProtection="1">
      <alignment horizontal="right" vertical="center"/>
      <protection locked="0"/>
    </xf>
    <xf numFmtId="3" fontId="16" fillId="5" borderId="9" xfId="0" applyNumberFormat="1" applyFont="1" applyFill="1" applyBorder="1" applyAlignment="1" applyProtection="1">
      <alignment horizontal="right" vertical="center"/>
      <protection locked="0"/>
    </xf>
    <xf numFmtId="14" fontId="16" fillId="3" borderId="57" xfId="0" applyNumberFormat="1" applyFont="1" applyFill="1" applyBorder="1" applyProtection="1">
      <alignment vertical="center"/>
      <protection locked="0"/>
    </xf>
    <xf numFmtId="14" fontId="16" fillId="3" borderId="28" xfId="0" applyNumberFormat="1" applyFont="1" applyFill="1" applyBorder="1" applyProtection="1">
      <alignment vertical="center"/>
      <protection locked="0"/>
    </xf>
    <xf numFmtId="0" fontId="27" fillId="7" borderId="1" xfId="3" applyFont="1" applyFill="1" applyBorder="1" applyAlignment="1" applyProtection="1">
      <alignment horizontal="center" vertical="center"/>
      <protection hidden="1"/>
    </xf>
    <xf numFmtId="0" fontId="30" fillId="7" borderId="11" xfId="0" applyFont="1" applyFill="1" applyBorder="1" applyAlignment="1" applyProtection="1">
      <alignment horizontal="center" vertical="center"/>
      <protection hidden="1"/>
    </xf>
    <xf numFmtId="0" fontId="30" fillId="7" borderId="9" xfId="0" applyFont="1" applyFill="1" applyBorder="1" applyAlignment="1" applyProtection="1">
      <alignment horizontal="center" vertical="center"/>
      <protection hidden="1"/>
    </xf>
    <xf numFmtId="0" fontId="30" fillId="7" borderId="12" xfId="0" applyFont="1" applyFill="1" applyBorder="1" applyAlignment="1" applyProtection="1">
      <alignment horizontal="center" vertical="center"/>
      <protection hidden="1"/>
    </xf>
    <xf numFmtId="0" fontId="27" fillId="7" borderId="12" xfId="3" applyFont="1" applyFill="1" applyBorder="1" applyAlignment="1" applyProtection="1">
      <alignment horizontal="center" vertical="center"/>
      <protection hidden="1"/>
    </xf>
    <xf numFmtId="0" fontId="16" fillId="0" borderId="57" xfId="0" applyFont="1" applyBorder="1" applyProtection="1">
      <alignment vertical="center"/>
      <protection hidden="1"/>
    </xf>
    <xf numFmtId="0" fontId="16" fillId="0" borderId="28" xfId="0" applyFont="1" applyBorder="1" applyProtection="1">
      <alignment vertical="center"/>
      <protection hidden="1"/>
    </xf>
    <xf numFmtId="0" fontId="25" fillId="0" borderId="4" xfId="0" applyFont="1" applyBorder="1" applyAlignment="1" applyProtection="1">
      <alignment horizontal="center" vertical="center" wrapText="1"/>
      <protection hidden="1"/>
    </xf>
    <xf numFmtId="0" fontId="25" fillId="0" borderId="2" xfId="0" applyFont="1" applyBorder="1" applyAlignment="1" applyProtection="1">
      <alignment horizontal="center" vertical="center" wrapText="1"/>
      <protection hidden="1"/>
    </xf>
    <xf numFmtId="0" fontId="25" fillId="0" borderId="3" xfId="0" applyFont="1" applyBorder="1" applyAlignment="1" applyProtection="1">
      <alignment horizontal="center" vertical="center" wrapText="1"/>
      <protection hidden="1"/>
    </xf>
    <xf numFmtId="0" fontId="25" fillId="0" borderId="6" xfId="0" applyFont="1" applyBorder="1" applyAlignment="1" applyProtection="1">
      <alignment horizontal="center" vertical="center" wrapText="1"/>
      <protection hidden="1"/>
    </xf>
    <xf numFmtId="0" fontId="25" fillId="0" borderId="0" xfId="0" applyFont="1" applyAlignment="1" applyProtection="1">
      <alignment horizontal="center" vertical="center" wrapText="1"/>
      <protection hidden="1"/>
    </xf>
    <xf numFmtId="0" fontId="25" fillId="0" borderId="5" xfId="0" applyFont="1" applyBorder="1" applyAlignment="1" applyProtection="1">
      <alignment horizontal="center" vertical="center" wrapText="1"/>
      <protection hidden="1"/>
    </xf>
    <xf numFmtId="0" fontId="25" fillId="0" borderId="10" xfId="0" applyFont="1" applyBorder="1" applyAlignment="1" applyProtection="1">
      <alignment horizontal="center" vertical="center" wrapText="1"/>
      <protection hidden="1"/>
    </xf>
    <xf numFmtId="0" fontId="25" fillId="0" borderId="8" xfId="0" applyFont="1" applyBorder="1" applyAlignment="1" applyProtection="1">
      <alignment horizontal="center" vertical="center" wrapText="1"/>
      <protection hidden="1"/>
    </xf>
    <xf numFmtId="0" fontId="25" fillId="0" borderId="7" xfId="0" applyFont="1" applyBorder="1" applyAlignment="1" applyProtection="1">
      <alignment horizontal="center" vertical="center" wrapText="1"/>
      <protection hidden="1"/>
    </xf>
    <xf numFmtId="14" fontId="16" fillId="3" borderId="11" xfId="0" applyNumberFormat="1" applyFont="1" applyFill="1" applyBorder="1" applyAlignment="1" applyProtection="1">
      <alignment horizontal="center" vertical="center"/>
      <protection locked="0"/>
    </xf>
    <xf numFmtId="14" fontId="16" fillId="3" borderId="12" xfId="0" applyNumberFormat="1" applyFont="1" applyFill="1" applyBorder="1" applyAlignment="1" applyProtection="1">
      <alignment horizontal="center" vertical="center"/>
      <protection locked="0"/>
    </xf>
    <xf numFmtId="0" fontId="16" fillId="3" borderId="11" xfId="0" applyFont="1" applyFill="1" applyBorder="1" applyAlignment="1" applyProtection="1">
      <alignment horizontal="center" vertical="center"/>
      <protection locked="0"/>
    </xf>
    <xf numFmtId="0" fontId="16" fillId="3" borderId="12" xfId="0" applyFont="1" applyFill="1" applyBorder="1" applyAlignment="1" applyProtection="1">
      <alignment horizontal="center" vertical="center"/>
      <protection locked="0"/>
    </xf>
    <xf numFmtId="3" fontId="16" fillId="5" borderId="11" xfId="0" applyNumberFormat="1" applyFont="1" applyFill="1" applyBorder="1" applyAlignment="1" applyProtection="1">
      <alignment horizontal="right" vertical="center"/>
      <protection locked="0"/>
    </xf>
    <xf numFmtId="3" fontId="16" fillId="5" borderId="12" xfId="0" applyNumberFormat="1" applyFont="1" applyFill="1" applyBorder="1" applyAlignment="1" applyProtection="1">
      <alignment horizontal="right" vertical="center"/>
      <protection locked="0"/>
    </xf>
    <xf numFmtId="0" fontId="16" fillId="7" borderId="14" xfId="0" applyFont="1" applyFill="1" applyBorder="1" applyAlignment="1" applyProtection="1">
      <alignment horizontal="center" vertical="center"/>
      <protection hidden="1"/>
    </xf>
    <xf numFmtId="0" fontId="16" fillId="7" borderId="15" xfId="0" applyFont="1" applyFill="1" applyBorder="1" applyAlignment="1" applyProtection="1">
      <alignment horizontal="center" vertical="center"/>
      <protection hidden="1"/>
    </xf>
    <xf numFmtId="0" fontId="16" fillId="7" borderId="13" xfId="0" applyFont="1" applyFill="1" applyBorder="1" applyAlignment="1" applyProtection="1">
      <alignment horizontal="center" vertical="center"/>
      <protection hidden="1"/>
    </xf>
    <xf numFmtId="0" fontId="16" fillId="3" borderId="57" xfId="0" applyFont="1" applyFill="1" applyBorder="1" applyProtection="1">
      <alignment vertical="center"/>
      <protection locked="0"/>
    </xf>
    <xf numFmtId="0" fontId="16" fillId="3" borderId="28" xfId="0" applyFont="1" applyFill="1" applyBorder="1" applyProtection="1">
      <alignment vertical="center"/>
      <protection locked="0"/>
    </xf>
    <xf numFmtId="0" fontId="30" fillId="0" borderId="11" xfId="0" applyFont="1" applyBorder="1" applyAlignment="1" applyProtection="1">
      <alignment horizontal="center" vertical="center"/>
      <protection hidden="1"/>
    </xf>
    <xf numFmtId="0" fontId="30" fillId="0" borderId="12" xfId="0" applyFont="1" applyBorder="1" applyAlignment="1" applyProtection="1">
      <alignment horizontal="center" vertical="center"/>
      <protection hidden="1"/>
    </xf>
    <xf numFmtId="3" fontId="16" fillId="5" borderId="1" xfId="0" applyNumberFormat="1" applyFont="1" applyFill="1" applyBorder="1" applyAlignment="1" applyProtection="1">
      <alignment horizontal="right" vertical="center"/>
      <protection locked="0"/>
    </xf>
    <xf numFmtId="0" fontId="43" fillId="0" borderId="4" xfId="0" applyFont="1" applyBorder="1" applyAlignment="1" applyProtection="1">
      <alignment horizontal="center" vertical="center" wrapText="1"/>
      <protection hidden="1"/>
    </xf>
    <xf numFmtId="0" fontId="43" fillId="0" borderId="2" xfId="0" applyFont="1" applyBorder="1" applyAlignment="1" applyProtection="1">
      <alignment horizontal="center" vertical="center" wrapText="1"/>
      <protection hidden="1"/>
    </xf>
    <xf numFmtId="0" fontId="43" fillId="0" borderId="3" xfId="0" applyFont="1" applyBorder="1" applyAlignment="1" applyProtection="1">
      <alignment horizontal="center" vertical="center" wrapText="1"/>
      <protection hidden="1"/>
    </xf>
    <xf numFmtId="0" fontId="43" fillId="0" borderId="6" xfId="0" applyFont="1" applyBorder="1" applyAlignment="1" applyProtection="1">
      <alignment horizontal="center" vertical="center" wrapText="1"/>
      <protection hidden="1"/>
    </xf>
    <xf numFmtId="0" fontId="43" fillId="0" borderId="0" xfId="0" applyFont="1" applyAlignment="1" applyProtection="1">
      <alignment horizontal="center" vertical="center" wrapText="1"/>
      <protection hidden="1"/>
    </xf>
    <xf numFmtId="0" fontId="43" fillId="0" borderId="5" xfId="0" applyFont="1" applyBorder="1" applyAlignment="1" applyProtection="1">
      <alignment horizontal="center" vertical="center" wrapText="1"/>
      <protection hidden="1"/>
    </xf>
    <xf numFmtId="0" fontId="43" fillId="0" borderId="10" xfId="0" applyFont="1" applyBorder="1" applyAlignment="1" applyProtection="1">
      <alignment horizontal="center" vertical="center" wrapText="1"/>
      <protection hidden="1"/>
    </xf>
    <xf numFmtId="0" fontId="43" fillId="0" borderId="8" xfId="0" applyFont="1" applyBorder="1" applyAlignment="1" applyProtection="1">
      <alignment horizontal="center" vertical="center" wrapText="1"/>
      <protection hidden="1"/>
    </xf>
    <xf numFmtId="0" fontId="43" fillId="0" borderId="7" xfId="0" applyFont="1" applyBorder="1" applyAlignment="1" applyProtection="1">
      <alignment horizontal="center" vertical="center" wrapText="1"/>
      <protection hidden="1"/>
    </xf>
    <xf numFmtId="0" fontId="16" fillId="7" borderId="14" xfId="0" applyFont="1" applyFill="1" applyBorder="1" applyAlignment="1" applyProtection="1">
      <alignment horizontal="center" vertical="center" shrinkToFit="1"/>
      <protection hidden="1"/>
    </xf>
    <xf numFmtId="0" fontId="16" fillId="7" borderId="13" xfId="0" applyFont="1" applyFill="1" applyBorder="1" applyAlignment="1" applyProtection="1">
      <alignment horizontal="center" vertical="center" shrinkToFit="1"/>
      <protection hidden="1"/>
    </xf>
    <xf numFmtId="0" fontId="16" fillId="0" borderId="0" xfId="0" applyFont="1" applyAlignment="1" applyProtection="1">
      <alignment horizontal="center" vertical="center"/>
      <protection hidden="1"/>
    </xf>
    <xf numFmtId="0" fontId="24" fillId="7" borderId="4" xfId="3" applyFont="1" applyFill="1" applyBorder="1" applyAlignment="1" applyProtection="1">
      <alignment horizontal="center" vertical="center"/>
      <protection hidden="1"/>
    </xf>
    <xf numFmtId="0" fontId="24" fillId="7" borderId="3" xfId="3" applyFont="1" applyFill="1" applyBorder="1" applyAlignment="1" applyProtection="1">
      <alignment horizontal="center" vertical="center"/>
      <protection hidden="1"/>
    </xf>
    <xf numFmtId="0" fontId="24" fillId="7" borderId="6" xfId="3" applyFont="1" applyFill="1" applyBorder="1" applyAlignment="1" applyProtection="1">
      <alignment horizontal="center" vertical="center"/>
      <protection hidden="1"/>
    </xf>
    <xf numFmtId="0" fontId="24" fillId="7" borderId="5" xfId="3" applyFont="1" applyFill="1" applyBorder="1" applyAlignment="1" applyProtection="1">
      <alignment horizontal="center" vertical="center"/>
      <protection hidden="1"/>
    </xf>
    <xf numFmtId="0" fontId="24" fillId="7" borderId="10" xfId="3" applyFont="1" applyFill="1" applyBorder="1" applyAlignment="1" applyProtection="1">
      <alignment horizontal="center" vertical="center"/>
      <protection hidden="1"/>
    </xf>
    <xf numFmtId="0" fontId="24" fillId="7" borderId="7" xfId="3" applyFont="1" applyFill="1" applyBorder="1" applyAlignment="1" applyProtection="1">
      <alignment horizontal="center" vertical="center"/>
      <protection hidden="1"/>
    </xf>
    <xf numFmtId="0" fontId="24" fillId="7" borderId="4" xfId="3" applyFont="1" applyFill="1" applyBorder="1" applyAlignment="1" applyProtection="1">
      <alignment horizontal="center" vertical="center" wrapText="1"/>
      <protection hidden="1"/>
    </xf>
    <xf numFmtId="0" fontId="24" fillId="7" borderId="3" xfId="3" applyFont="1" applyFill="1" applyBorder="1" applyAlignment="1" applyProtection="1">
      <alignment horizontal="center" vertical="center" wrapText="1"/>
      <protection hidden="1"/>
    </xf>
    <xf numFmtId="0" fontId="24" fillId="7" borderId="6" xfId="3" applyFont="1" applyFill="1" applyBorder="1" applyAlignment="1" applyProtection="1">
      <alignment horizontal="center" vertical="center" wrapText="1"/>
      <protection hidden="1"/>
    </xf>
    <xf numFmtId="0" fontId="24" fillId="7" borderId="5" xfId="3" applyFont="1" applyFill="1" applyBorder="1" applyAlignment="1" applyProtection="1">
      <alignment horizontal="center" vertical="center" wrapText="1"/>
      <protection hidden="1"/>
    </xf>
    <xf numFmtId="0" fontId="24" fillId="7" borderId="10" xfId="3" applyFont="1" applyFill="1" applyBorder="1" applyAlignment="1" applyProtection="1">
      <alignment horizontal="center" vertical="center" wrapText="1"/>
      <protection hidden="1"/>
    </xf>
    <xf numFmtId="0" fontId="24" fillId="7" borderId="7" xfId="3" applyFont="1" applyFill="1" applyBorder="1" applyAlignment="1" applyProtection="1">
      <alignment horizontal="center" vertical="center" wrapText="1"/>
      <protection hidden="1"/>
    </xf>
    <xf numFmtId="0" fontId="16" fillId="3" borderId="2" xfId="3" applyFont="1" applyFill="1" applyBorder="1" applyAlignment="1" applyProtection="1">
      <alignment horizontal="center" vertical="center"/>
      <protection locked="0"/>
    </xf>
    <xf numFmtId="0" fontId="16" fillId="3" borderId="8" xfId="3" applyFont="1" applyFill="1" applyBorder="1" applyAlignment="1" applyProtection="1">
      <alignment horizontal="center" vertical="center"/>
      <protection locked="0"/>
    </xf>
    <xf numFmtId="0" fontId="27" fillId="0" borderId="0" xfId="3" applyFont="1" applyAlignment="1" applyProtection="1">
      <alignment horizontal="center" vertical="center"/>
      <protection hidden="1"/>
    </xf>
    <xf numFmtId="0" fontId="30" fillId="0" borderId="10" xfId="0" applyFont="1" applyBorder="1" applyAlignment="1" applyProtection="1">
      <alignment horizontal="center" vertical="center"/>
      <protection hidden="1"/>
    </xf>
    <xf numFmtId="0" fontId="30" fillId="0" borderId="7" xfId="0" applyFont="1" applyBorder="1" applyAlignment="1" applyProtection="1">
      <alignment horizontal="center" vertical="center"/>
      <protection hidden="1"/>
    </xf>
    <xf numFmtId="0" fontId="30" fillId="0" borderId="1" xfId="0" applyFont="1" applyBorder="1" applyAlignment="1" applyProtection="1">
      <alignment horizontal="center" vertical="center"/>
      <protection hidden="1"/>
    </xf>
    <xf numFmtId="0" fontId="27" fillId="7" borderId="11" xfId="3" applyFont="1" applyFill="1" applyBorder="1" applyAlignment="1" applyProtection="1">
      <alignment horizontal="left" vertical="center"/>
      <protection hidden="1"/>
    </xf>
    <xf numFmtId="0" fontId="27" fillId="7" borderId="9" xfId="3" applyFont="1" applyFill="1" applyBorder="1" applyAlignment="1" applyProtection="1">
      <alignment horizontal="left" vertical="center"/>
      <protection hidden="1"/>
    </xf>
    <xf numFmtId="0" fontId="27" fillId="7" borderId="12" xfId="3" applyFont="1" applyFill="1" applyBorder="1" applyAlignment="1" applyProtection="1">
      <alignment horizontal="left" vertical="center"/>
      <protection hidden="1"/>
    </xf>
    <xf numFmtId="0" fontId="24" fillId="0" borderId="4" xfId="3" applyFont="1" applyBorder="1" applyAlignment="1" applyProtection="1">
      <alignment horizontal="center" vertical="center"/>
      <protection hidden="1"/>
    </xf>
    <xf numFmtId="0" fontId="24" fillId="0" borderId="2" xfId="3" applyFont="1" applyBorder="1" applyAlignment="1" applyProtection="1">
      <alignment horizontal="center" vertical="center"/>
      <protection hidden="1"/>
    </xf>
    <xf numFmtId="0" fontId="24" fillId="0" borderId="3" xfId="3" applyFont="1" applyBorder="1" applyAlignment="1" applyProtection="1">
      <alignment horizontal="center" vertical="center"/>
      <protection hidden="1"/>
    </xf>
    <xf numFmtId="0" fontId="24" fillId="0" borderId="10" xfId="3" applyFont="1" applyBorder="1" applyAlignment="1" applyProtection="1">
      <alignment horizontal="center" vertical="center"/>
      <protection hidden="1"/>
    </xf>
    <xf numFmtId="0" fontId="24" fillId="0" borderId="8" xfId="3" applyFont="1" applyBorder="1" applyAlignment="1" applyProtection="1">
      <alignment horizontal="center" vertical="center"/>
      <protection hidden="1"/>
    </xf>
    <xf numFmtId="0" fontId="24" fillId="0" borderId="7" xfId="3" applyFont="1" applyBorder="1" applyAlignment="1" applyProtection="1">
      <alignment horizontal="center" vertical="center"/>
      <protection hidden="1"/>
    </xf>
    <xf numFmtId="178" fontId="24" fillId="5" borderId="4" xfId="3" applyNumberFormat="1" applyFont="1" applyFill="1" applyBorder="1" applyAlignment="1" applyProtection="1">
      <alignment horizontal="center" vertical="center"/>
      <protection locked="0"/>
    </xf>
    <xf numFmtId="178" fontId="24" fillId="5" borderId="2" xfId="3" applyNumberFormat="1" applyFont="1" applyFill="1" applyBorder="1" applyAlignment="1" applyProtection="1">
      <alignment horizontal="center" vertical="center"/>
      <protection locked="0"/>
    </xf>
    <xf numFmtId="178" fontId="24" fillId="5" borderId="3" xfId="3" applyNumberFormat="1" applyFont="1" applyFill="1" applyBorder="1" applyAlignment="1" applyProtection="1">
      <alignment horizontal="center" vertical="center"/>
      <protection locked="0"/>
    </xf>
    <xf numFmtId="178" fontId="24" fillId="5" borderId="10" xfId="3" applyNumberFormat="1" applyFont="1" applyFill="1" applyBorder="1" applyAlignment="1" applyProtection="1">
      <alignment horizontal="center" vertical="center"/>
      <protection locked="0"/>
    </xf>
    <xf numFmtId="178" fontId="24" fillId="5" borderId="8" xfId="3" applyNumberFormat="1" applyFont="1" applyFill="1" applyBorder="1" applyAlignment="1" applyProtection="1">
      <alignment horizontal="center" vertical="center"/>
      <protection locked="0"/>
    </xf>
    <xf numFmtId="178" fontId="24" fillId="5" borderId="7" xfId="3" applyNumberFormat="1" applyFont="1" applyFill="1" applyBorder="1" applyAlignment="1" applyProtection="1">
      <alignment horizontal="center" vertical="center"/>
      <protection locked="0"/>
    </xf>
    <xf numFmtId="0" fontId="24" fillId="0" borderId="11" xfId="3" applyFont="1" applyBorder="1" applyAlignment="1" applyProtection="1">
      <alignment vertical="center" wrapText="1"/>
      <protection hidden="1"/>
    </xf>
    <xf numFmtId="0" fontId="24" fillId="0" borderId="9" xfId="3" applyFont="1" applyBorder="1" applyAlignment="1" applyProtection="1">
      <alignment vertical="center" wrapText="1"/>
      <protection hidden="1"/>
    </xf>
    <xf numFmtId="0" fontId="24" fillId="0" borderId="12" xfId="3" applyFont="1" applyBorder="1" applyAlignment="1" applyProtection="1">
      <alignment vertical="center" wrapText="1"/>
      <protection hidden="1"/>
    </xf>
    <xf numFmtId="0" fontId="16" fillId="5" borderId="1" xfId="7" applyFont="1" applyFill="1" applyBorder="1" applyAlignment="1" applyProtection="1">
      <alignment horizontal="left" vertical="center" wrapText="1"/>
      <protection locked="0"/>
    </xf>
    <xf numFmtId="0" fontId="25" fillId="7" borderId="1" xfId="7" applyFont="1" applyFill="1" applyBorder="1" applyAlignment="1">
      <alignment horizontal="center" vertical="center" textRotation="255" wrapText="1"/>
    </xf>
    <xf numFmtId="0" fontId="30" fillId="8" borderId="1" xfId="7" applyFont="1" applyFill="1" applyBorder="1" applyAlignment="1" applyProtection="1">
      <alignment horizontal="left" vertical="center" wrapText="1"/>
      <protection locked="0"/>
    </xf>
    <xf numFmtId="0" fontId="30" fillId="5" borderId="14" xfId="7" applyFont="1" applyFill="1" applyBorder="1" applyAlignment="1" applyProtection="1">
      <alignment horizontal="left" vertical="center" wrapText="1"/>
      <protection locked="0"/>
    </xf>
    <xf numFmtId="0" fontId="30" fillId="5" borderId="13" xfId="7" applyFont="1" applyFill="1" applyBorder="1" applyAlignment="1" applyProtection="1">
      <alignment horizontal="left" vertical="center" wrapText="1"/>
      <protection locked="0"/>
    </xf>
    <xf numFmtId="0" fontId="16" fillId="0" borderId="0" xfId="7" applyFont="1" applyAlignment="1">
      <alignment horizontal="left" vertical="center" wrapText="1"/>
    </xf>
    <xf numFmtId="0" fontId="16" fillId="5" borderId="14" xfId="7" applyFont="1" applyFill="1" applyBorder="1" applyAlignment="1" applyProtection="1">
      <alignment horizontal="left" vertical="center" wrapText="1"/>
      <protection locked="0"/>
    </xf>
    <xf numFmtId="0" fontId="16" fillId="5" borderId="13" xfId="7" applyFont="1" applyFill="1" applyBorder="1" applyAlignment="1" applyProtection="1">
      <alignment horizontal="left" vertical="center" wrapText="1"/>
      <protection locked="0"/>
    </xf>
    <xf numFmtId="0" fontId="16" fillId="5" borderId="4" xfId="9" applyFont="1" applyFill="1" applyBorder="1" applyAlignment="1" applyProtection="1">
      <alignment horizontal="center" vertical="center" wrapText="1"/>
      <protection locked="0"/>
    </xf>
    <xf numFmtId="0" fontId="16" fillId="5" borderId="10" xfId="9" applyFont="1" applyFill="1" applyBorder="1" applyAlignment="1" applyProtection="1">
      <alignment horizontal="center" vertical="center" wrapText="1"/>
      <protection locked="0"/>
    </xf>
    <xf numFmtId="0" fontId="16" fillId="2" borderId="14" xfId="9" applyFont="1" applyFill="1" applyBorder="1" applyAlignment="1" applyProtection="1">
      <alignment horizontal="left" vertical="center" wrapText="1"/>
      <protection hidden="1"/>
    </xf>
    <xf numFmtId="0" fontId="16" fillId="2" borderId="13" xfId="9" applyFont="1" applyFill="1" applyBorder="1" applyAlignment="1" applyProtection="1">
      <alignment horizontal="left" vertical="center" wrapText="1"/>
      <protection hidden="1"/>
    </xf>
    <xf numFmtId="0" fontId="16" fillId="3" borderId="14" xfId="9" applyFont="1" applyFill="1" applyBorder="1" applyAlignment="1" applyProtection="1">
      <alignment horizontal="center" vertical="center" wrapText="1"/>
      <protection locked="0"/>
    </xf>
    <xf numFmtId="0" fontId="16" fillId="3" borderId="13" xfId="9" applyFont="1" applyFill="1" applyBorder="1" applyAlignment="1" applyProtection="1">
      <alignment horizontal="center" vertical="center" wrapText="1"/>
      <protection locked="0"/>
    </xf>
    <xf numFmtId="0" fontId="37" fillId="0" borderId="0" xfId="0" applyFont="1" applyProtection="1">
      <alignment vertical="center"/>
      <protection hidden="1"/>
    </xf>
    <xf numFmtId="0" fontId="25" fillId="7" borderId="14" xfId="9" applyFont="1" applyFill="1" applyBorder="1" applyAlignment="1" applyProtection="1">
      <alignment horizontal="center" vertical="center"/>
      <protection hidden="1"/>
    </xf>
    <xf numFmtId="0" fontId="25" fillId="7" borderId="13" xfId="9" applyFont="1" applyFill="1" applyBorder="1" applyAlignment="1" applyProtection="1">
      <alignment horizontal="center" vertical="center"/>
      <protection hidden="1"/>
    </xf>
    <xf numFmtId="0" fontId="25" fillId="7" borderId="14" xfId="9" applyFont="1" applyFill="1" applyBorder="1" applyAlignment="1" applyProtection="1">
      <alignment horizontal="center" vertical="center" wrapText="1"/>
      <protection hidden="1"/>
    </xf>
    <xf numFmtId="0" fontId="25" fillId="7" borderId="13" xfId="9" applyFont="1" applyFill="1" applyBorder="1" applyAlignment="1" applyProtection="1">
      <alignment horizontal="center" vertical="center" wrapText="1"/>
      <protection hidden="1"/>
    </xf>
    <xf numFmtId="0" fontId="25" fillId="7" borderId="1" xfId="9" applyFont="1" applyFill="1" applyBorder="1" applyAlignment="1" applyProtection="1">
      <alignment horizontal="center" vertical="center" wrapText="1"/>
      <protection hidden="1"/>
    </xf>
    <xf numFmtId="0" fontId="25" fillId="7" borderId="4" xfId="9" applyFont="1" applyFill="1" applyBorder="1" applyAlignment="1" applyProtection="1">
      <alignment horizontal="center" vertical="center" wrapText="1"/>
      <protection hidden="1"/>
    </xf>
    <xf numFmtId="0" fontId="25" fillId="7" borderId="3" xfId="9" applyFont="1" applyFill="1" applyBorder="1" applyAlignment="1" applyProtection="1">
      <alignment horizontal="center" vertical="center" wrapText="1"/>
      <protection hidden="1"/>
    </xf>
    <xf numFmtId="0" fontId="25" fillId="7" borderId="10" xfId="9" applyFont="1" applyFill="1" applyBorder="1" applyAlignment="1" applyProtection="1">
      <alignment horizontal="center" vertical="center" wrapText="1"/>
      <protection hidden="1"/>
    </xf>
    <xf numFmtId="0" fontId="25" fillId="7" borderId="7" xfId="9" applyFont="1" applyFill="1" applyBorder="1" applyAlignment="1" applyProtection="1">
      <alignment horizontal="center" vertical="center" wrapText="1"/>
      <protection hidden="1"/>
    </xf>
    <xf numFmtId="0" fontId="26" fillId="0" borderId="0" xfId="9" applyFont="1" applyAlignment="1" applyProtection="1">
      <alignment horizontal="center"/>
      <protection hidden="1"/>
    </xf>
    <xf numFmtId="184" fontId="16" fillId="7" borderId="14" xfId="9" applyNumberFormat="1" applyFont="1" applyFill="1" applyBorder="1" applyAlignment="1" applyProtection="1">
      <alignment horizontal="center" vertical="center" wrapText="1"/>
      <protection locked="0"/>
    </xf>
    <xf numFmtId="184" fontId="16" fillId="7" borderId="13" xfId="9" applyNumberFormat="1" applyFont="1" applyFill="1" applyBorder="1" applyAlignment="1" applyProtection="1">
      <alignment horizontal="center" vertical="center" wrapText="1"/>
      <protection locked="0"/>
    </xf>
    <xf numFmtId="0" fontId="16" fillId="7" borderId="14" xfId="3" applyFont="1" applyFill="1" applyBorder="1" applyAlignment="1" applyProtection="1">
      <alignment horizontal="center" vertical="center"/>
      <protection hidden="1"/>
    </xf>
    <xf numFmtId="0" fontId="16" fillId="7" borderId="13" xfId="3" applyFont="1" applyFill="1" applyBorder="1" applyAlignment="1" applyProtection="1">
      <alignment horizontal="center" vertical="center"/>
      <protection hidden="1"/>
    </xf>
    <xf numFmtId="0" fontId="14" fillId="3" borderId="24" xfId="3" applyFont="1" applyFill="1" applyBorder="1" applyAlignment="1" applyProtection="1">
      <alignment horizontal="left" vertical="center" shrinkToFit="1"/>
      <protection locked="0"/>
    </xf>
    <xf numFmtId="0" fontId="14" fillId="3" borderId="25" xfId="3" applyFont="1" applyFill="1" applyBorder="1" applyAlignment="1" applyProtection="1">
      <alignment horizontal="left" vertical="center" shrinkToFit="1"/>
      <protection locked="0"/>
    </xf>
    <xf numFmtId="0" fontId="14" fillId="3" borderId="26" xfId="3" applyFont="1" applyFill="1" applyBorder="1" applyAlignment="1" applyProtection="1">
      <alignment horizontal="left" vertical="center" shrinkToFit="1"/>
      <protection locked="0"/>
    </xf>
    <xf numFmtId="0" fontId="48" fillId="7" borderId="1" xfId="9" applyFont="1" applyFill="1" applyBorder="1" applyAlignment="1" applyProtection="1">
      <alignment horizontal="center" vertical="center" wrapText="1"/>
      <protection hidden="1"/>
    </xf>
    <xf numFmtId="0" fontId="16" fillId="5" borderId="14" xfId="3" applyFont="1" applyFill="1" applyBorder="1" applyAlignment="1" applyProtection="1">
      <alignment horizontal="left" vertical="center" wrapText="1"/>
      <protection locked="0"/>
    </xf>
    <xf numFmtId="0" fontId="16" fillId="5" borderId="13" xfId="3" applyFont="1" applyFill="1" applyBorder="1" applyAlignment="1" applyProtection="1">
      <alignment horizontal="left" vertical="center" wrapText="1"/>
      <protection locked="0"/>
    </xf>
    <xf numFmtId="0" fontId="16" fillId="2" borderId="14" xfId="9" applyFont="1" applyFill="1" applyBorder="1" applyAlignment="1" applyProtection="1">
      <alignment horizontal="center" vertical="center" wrapText="1"/>
      <protection hidden="1"/>
    </xf>
    <xf numFmtId="0" fontId="16" fillId="2" borderId="13" xfId="9" applyFont="1" applyFill="1" applyBorder="1" applyAlignment="1" applyProtection="1">
      <alignment horizontal="center" vertical="center" wrapText="1"/>
      <protection hidden="1"/>
    </xf>
    <xf numFmtId="0" fontId="14" fillId="0" borderId="0" xfId="3" applyFont="1" applyAlignment="1" applyProtection="1">
      <alignment horizontal="left" vertical="center" shrinkToFit="1"/>
      <protection hidden="1"/>
    </xf>
    <xf numFmtId="0" fontId="16" fillId="0" borderId="0" xfId="3" applyFont="1" applyAlignment="1" applyProtection="1">
      <alignment horizontal="center" vertical="center"/>
      <protection hidden="1"/>
    </xf>
    <xf numFmtId="0" fontId="25" fillId="7" borderId="11" xfId="9" applyFont="1" applyFill="1" applyBorder="1" applyAlignment="1" applyProtection="1">
      <alignment horizontal="center" vertical="center" wrapText="1"/>
      <protection hidden="1"/>
    </xf>
    <xf numFmtId="0" fontId="25" fillId="7" borderId="12" xfId="9" applyFont="1" applyFill="1" applyBorder="1" applyAlignment="1" applyProtection="1">
      <alignment horizontal="center" vertical="center" wrapText="1"/>
      <protection hidden="1"/>
    </xf>
    <xf numFmtId="0" fontId="25" fillId="7" borderId="9" xfId="9" applyFont="1" applyFill="1" applyBorder="1" applyAlignment="1" applyProtection="1">
      <alignment horizontal="center" vertical="center" wrapText="1"/>
      <protection hidden="1"/>
    </xf>
    <xf numFmtId="0" fontId="25" fillId="0" borderId="0" xfId="9" applyFont="1" applyAlignment="1" applyProtection="1">
      <alignment horizontal="center" vertical="center" wrapText="1"/>
      <protection hidden="1"/>
    </xf>
    <xf numFmtId="0" fontId="16" fillId="0" borderId="0" xfId="9" applyFont="1" applyAlignment="1" applyProtection="1">
      <alignment horizontal="center" vertical="center" wrapText="1"/>
      <protection hidden="1"/>
    </xf>
    <xf numFmtId="0" fontId="16" fillId="7" borderId="15" xfId="3" applyFont="1" applyFill="1" applyBorder="1" applyAlignment="1" applyProtection="1">
      <alignment horizontal="center" vertical="center"/>
      <protection hidden="1"/>
    </xf>
    <xf numFmtId="0" fontId="7" fillId="0" borderId="14" xfId="2" applyBorder="1" applyAlignment="1" applyProtection="1">
      <alignment horizontal="center"/>
      <protection hidden="1"/>
    </xf>
    <xf numFmtId="0" fontId="7" fillId="0" borderId="13" xfId="2" applyBorder="1" applyAlignment="1" applyProtection="1">
      <alignment horizontal="center"/>
      <protection hidden="1"/>
    </xf>
    <xf numFmtId="0" fontId="7" fillId="0" borderId="1" xfId="2" applyBorder="1" applyProtection="1">
      <protection hidden="1"/>
    </xf>
    <xf numFmtId="0" fontId="44" fillId="0" borderId="1" xfId="16" applyFont="1" applyBorder="1" applyAlignment="1" applyProtection="1">
      <alignment horizontal="center" vertical="center"/>
      <protection hidden="1"/>
    </xf>
    <xf numFmtId="0" fontId="44" fillId="0" borderId="0" xfId="16" applyFont="1" applyAlignment="1" applyProtection="1">
      <alignment horizontal="left" vertical="center"/>
      <protection hidden="1"/>
    </xf>
    <xf numFmtId="0" fontId="55" fillId="2" borderId="0" xfId="16" applyFont="1" applyFill="1" applyAlignment="1" applyProtection="1">
      <alignment horizontal="right" vertical="center"/>
      <protection hidden="1"/>
    </xf>
    <xf numFmtId="0" fontId="55" fillId="2" borderId="0" xfId="16" applyFont="1" applyFill="1" applyAlignment="1" applyProtection="1">
      <alignment horizontal="center" vertical="center"/>
      <protection hidden="1"/>
    </xf>
    <xf numFmtId="0" fontId="44" fillId="0" borderId="4" xfId="16" applyFont="1" applyBorder="1" applyAlignment="1" applyProtection="1">
      <alignment horizontal="center" vertical="center"/>
      <protection hidden="1"/>
    </xf>
    <xf numFmtId="0" fontId="44" fillId="0" borderId="2" xfId="16" applyFont="1" applyBorder="1" applyAlignment="1" applyProtection="1">
      <alignment horizontal="center" vertical="center"/>
      <protection hidden="1"/>
    </xf>
    <xf numFmtId="0" fontId="44" fillId="0" borderId="10" xfId="16" applyFont="1" applyBorder="1" applyAlignment="1" applyProtection="1">
      <alignment horizontal="center" vertical="center"/>
      <protection hidden="1"/>
    </xf>
    <xf numFmtId="0" fontId="44" fillId="0" borderId="8" xfId="16" applyFont="1" applyBorder="1" applyAlignment="1" applyProtection="1">
      <alignment horizontal="center" vertical="center"/>
      <protection hidden="1"/>
    </xf>
    <xf numFmtId="186" fontId="54" fillId="2" borderId="4" xfId="16" applyNumberFormat="1" applyFont="1" applyFill="1" applyBorder="1" applyAlignment="1" applyProtection="1">
      <alignment horizontal="center" vertical="center"/>
      <protection hidden="1"/>
    </xf>
    <xf numFmtId="186" fontId="54" fillId="2" borderId="2" xfId="16" applyNumberFormat="1" applyFont="1" applyFill="1" applyBorder="1" applyAlignment="1" applyProtection="1">
      <alignment horizontal="center" vertical="center"/>
      <protection hidden="1"/>
    </xf>
    <xf numFmtId="186" fontId="54" fillId="2" borderId="10" xfId="16" applyNumberFormat="1" applyFont="1" applyFill="1" applyBorder="1" applyAlignment="1" applyProtection="1">
      <alignment horizontal="center" vertical="center"/>
      <protection hidden="1"/>
    </xf>
    <xf numFmtId="186" fontId="54" fillId="2" borderId="8" xfId="16" applyNumberFormat="1" applyFont="1" applyFill="1" applyBorder="1" applyAlignment="1" applyProtection="1">
      <alignment horizontal="center" vertical="center"/>
      <protection hidden="1"/>
    </xf>
    <xf numFmtId="0" fontId="51" fillId="2" borderId="4" xfId="16" applyFont="1" applyFill="1" applyBorder="1" applyAlignment="1" applyProtection="1">
      <alignment horizontal="center" vertical="center"/>
      <protection hidden="1"/>
    </xf>
    <xf numFmtId="0" fontId="51" fillId="2" borderId="2" xfId="16" applyFont="1" applyFill="1" applyBorder="1" applyAlignment="1" applyProtection="1">
      <alignment horizontal="center" vertical="center"/>
      <protection hidden="1"/>
    </xf>
    <xf numFmtId="0" fontId="51" fillId="2" borderId="3" xfId="16" applyFont="1" applyFill="1" applyBorder="1" applyAlignment="1" applyProtection="1">
      <alignment horizontal="center" vertical="center"/>
      <protection hidden="1"/>
    </xf>
    <xf numFmtId="0" fontId="51" fillId="2" borderId="10" xfId="16" applyFont="1" applyFill="1" applyBorder="1" applyAlignment="1" applyProtection="1">
      <alignment horizontal="center" vertical="center"/>
      <protection hidden="1"/>
    </xf>
    <xf numFmtId="0" fontId="51" fillId="2" borderId="8" xfId="16" applyFont="1" applyFill="1" applyBorder="1" applyAlignment="1" applyProtection="1">
      <alignment horizontal="center" vertical="center"/>
      <protection hidden="1"/>
    </xf>
    <xf numFmtId="0" fontId="51" fillId="2" borderId="7" xfId="16" applyFont="1" applyFill="1" applyBorder="1" applyAlignment="1" applyProtection="1">
      <alignment horizontal="center" vertical="center"/>
      <protection hidden="1"/>
    </xf>
    <xf numFmtId="0" fontId="44" fillId="0" borderId="3" xfId="16" applyFont="1" applyBorder="1" applyAlignment="1" applyProtection="1">
      <alignment horizontal="center" vertical="center"/>
      <protection hidden="1"/>
    </xf>
    <xf numFmtId="0" fontId="44" fillId="0" borderId="7" xfId="16" applyFont="1" applyBorder="1" applyAlignment="1" applyProtection="1">
      <alignment horizontal="center" vertical="center"/>
      <protection hidden="1"/>
    </xf>
    <xf numFmtId="0" fontId="44" fillId="0" borderId="6" xfId="16" applyFont="1" applyBorder="1" applyAlignment="1" applyProtection="1">
      <alignment horizontal="center" vertical="center"/>
      <protection hidden="1"/>
    </xf>
    <xf numFmtId="0" fontId="44" fillId="0" borderId="0" xfId="16" applyFont="1" applyAlignment="1" applyProtection="1">
      <alignment horizontal="center" vertical="center"/>
      <protection hidden="1"/>
    </xf>
    <xf numFmtId="0" fontId="44" fillId="0" borderId="5" xfId="16" applyFont="1" applyBorder="1" applyAlignment="1" applyProtection="1">
      <alignment horizontal="center" vertical="center"/>
      <protection hidden="1"/>
    </xf>
    <xf numFmtId="0" fontId="10" fillId="0" borderId="4" xfId="16" applyFont="1" applyBorder="1" applyAlignment="1" applyProtection="1">
      <alignment horizontal="center" vertical="center" wrapText="1"/>
      <protection hidden="1"/>
    </xf>
    <xf numFmtId="0" fontId="47" fillId="0" borderId="2" xfId="16" applyFont="1" applyBorder="1" applyAlignment="1" applyProtection="1">
      <alignment horizontal="center" vertical="center" wrapText="1"/>
      <protection hidden="1"/>
    </xf>
    <xf numFmtId="0" fontId="47" fillId="0" borderId="3" xfId="16" applyFont="1" applyBorder="1" applyAlignment="1" applyProtection="1">
      <alignment horizontal="center" vertical="center" wrapText="1"/>
      <protection hidden="1"/>
    </xf>
    <xf numFmtId="0" fontId="47" fillId="0" borderId="6" xfId="16" applyFont="1" applyBorder="1" applyAlignment="1" applyProtection="1">
      <alignment horizontal="center" vertical="center" wrapText="1"/>
      <protection hidden="1"/>
    </xf>
    <xf numFmtId="0" fontId="47" fillId="0" borderId="0" xfId="16" applyFont="1" applyAlignment="1" applyProtection="1">
      <alignment horizontal="center" vertical="center" wrapText="1"/>
      <protection hidden="1"/>
    </xf>
    <xf numFmtId="0" fontId="47" fillId="0" borderId="5" xfId="16" applyFont="1" applyBorder="1" applyAlignment="1" applyProtection="1">
      <alignment horizontal="center" vertical="center" wrapText="1"/>
      <protection hidden="1"/>
    </xf>
    <xf numFmtId="0" fontId="47" fillId="0" borderId="10" xfId="16" applyFont="1" applyBorder="1" applyAlignment="1" applyProtection="1">
      <alignment horizontal="center" vertical="center" wrapText="1"/>
      <protection hidden="1"/>
    </xf>
    <xf numFmtId="0" fontId="47" fillId="0" borderId="8" xfId="16" applyFont="1" applyBorder="1" applyAlignment="1" applyProtection="1">
      <alignment horizontal="center" vertical="center" wrapText="1"/>
      <protection hidden="1"/>
    </xf>
    <xf numFmtId="0" fontId="47" fillId="0" borderId="7" xfId="16" applyFont="1" applyBorder="1" applyAlignment="1" applyProtection="1">
      <alignment horizontal="center" vertical="center" wrapText="1"/>
      <protection hidden="1"/>
    </xf>
    <xf numFmtId="183" fontId="52" fillId="5" borderId="38" xfId="16" applyNumberFormat="1" applyFont="1" applyFill="1" applyBorder="1" applyAlignment="1" applyProtection="1">
      <alignment horizontal="center" vertical="center"/>
      <protection locked="0"/>
    </xf>
    <xf numFmtId="183" fontId="52" fillId="5" borderId="39" xfId="16" applyNumberFormat="1" applyFont="1" applyFill="1" applyBorder="1" applyAlignment="1" applyProtection="1">
      <alignment horizontal="center" vertical="center"/>
      <protection locked="0"/>
    </xf>
    <xf numFmtId="183" fontId="52" fillId="5" borderId="40" xfId="16" applyNumberFormat="1" applyFont="1" applyFill="1" applyBorder="1" applyAlignment="1" applyProtection="1">
      <alignment horizontal="center" vertical="center"/>
      <protection locked="0"/>
    </xf>
    <xf numFmtId="183" fontId="52" fillId="5" borderId="53" xfId="16" applyNumberFormat="1" applyFont="1" applyFill="1" applyBorder="1" applyAlignment="1" applyProtection="1">
      <alignment horizontal="center" vertical="center"/>
      <protection locked="0"/>
    </xf>
    <xf numFmtId="183" fontId="52" fillId="5" borderId="54" xfId="16" applyNumberFormat="1" applyFont="1" applyFill="1" applyBorder="1" applyAlignment="1" applyProtection="1">
      <alignment horizontal="center" vertical="center"/>
      <protection locked="0"/>
    </xf>
    <xf numFmtId="183" fontId="52" fillId="5" borderId="55" xfId="16" applyNumberFormat="1" applyFont="1" applyFill="1" applyBorder="1" applyAlignment="1" applyProtection="1">
      <alignment horizontal="center" vertical="center"/>
      <protection locked="0"/>
    </xf>
    <xf numFmtId="0" fontId="51" fillId="2" borderId="38" xfId="16" applyFont="1" applyFill="1" applyBorder="1" applyAlignment="1" applyProtection="1">
      <alignment horizontal="center" vertical="center" shrinkToFit="1"/>
      <protection hidden="1"/>
    </xf>
    <xf numFmtId="0" fontId="51" fillId="2" borderId="39" xfId="16" applyFont="1" applyFill="1" applyBorder="1" applyAlignment="1" applyProtection="1">
      <alignment horizontal="center" vertical="center" shrinkToFit="1"/>
      <protection hidden="1"/>
    </xf>
    <xf numFmtId="0" fontId="51" fillId="2" borderId="40" xfId="16" applyFont="1" applyFill="1" applyBorder="1" applyAlignment="1" applyProtection="1">
      <alignment horizontal="center" vertical="center" shrinkToFit="1"/>
      <protection hidden="1"/>
    </xf>
    <xf numFmtId="0" fontId="51" fillId="2" borderId="53" xfId="16" applyFont="1" applyFill="1" applyBorder="1" applyAlignment="1" applyProtection="1">
      <alignment horizontal="center" vertical="center" shrinkToFit="1"/>
      <protection hidden="1"/>
    </xf>
    <xf numFmtId="0" fontId="51" fillId="2" borderId="54" xfId="16" applyFont="1" applyFill="1" applyBorder="1" applyAlignment="1" applyProtection="1">
      <alignment horizontal="center" vertical="center" shrinkToFit="1"/>
      <protection hidden="1"/>
    </xf>
    <xf numFmtId="0" fontId="51" fillId="2" borderId="55" xfId="16" applyFont="1" applyFill="1" applyBorder="1" applyAlignment="1" applyProtection="1">
      <alignment horizontal="center" vertical="center" shrinkToFit="1"/>
      <protection hidden="1"/>
    </xf>
    <xf numFmtId="0" fontId="51" fillId="2" borderId="32" xfId="17" applyNumberFormat="1" applyFont="1" applyFill="1" applyBorder="1" applyAlignment="1" applyProtection="1">
      <alignment horizontal="center" vertical="center"/>
      <protection hidden="1"/>
    </xf>
    <xf numFmtId="0" fontId="51" fillId="2" borderId="33" xfId="17" applyNumberFormat="1" applyFont="1" applyFill="1" applyBorder="1" applyAlignment="1" applyProtection="1">
      <alignment horizontal="center" vertical="center"/>
      <protection hidden="1"/>
    </xf>
    <xf numFmtId="0" fontId="51" fillId="2" borderId="35" xfId="17" applyNumberFormat="1" applyFont="1" applyFill="1" applyBorder="1" applyAlignment="1" applyProtection="1">
      <alignment horizontal="center" vertical="center"/>
      <protection hidden="1"/>
    </xf>
    <xf numFmtId="0" fontId="51" fillId="2" borderId="36" xfId="17" applyNumberFormat="1" applyFont="1" applyFill="1" applyBorder="1" applyAlignment="1" applyProtection="1">
      <alignment horizontal="center" vertical="center"/>
      <protection hidden="1"/>
    </xf>
    <xf numFmtId="0" fontId="44" fillId="0" borderId="53" xfId="16" applyFont="1" applyBorder="1" applyAlignment="1" applyProtection="1">
      <alignment horizontal="center" vertical="center"/>
      <protection hidden="1"/>
    </xf>
    <xf numFmtId="0" fontId="44" fillId="0" borderId="54" xfId="16" applyFont="1" applyBorder="1" applyAlignment="1" applyProtection="1">
      <alignment horizontal="center" vertical="center"/>
      <protection hidden="1"/>
    </xf>
    <xf numFmtId="0" fontId="44" fillId="0" borderId="55" xfId="16" applyFont="1" applyBorder="1" applyAlignment="1" applyProtection="1">
      <alignment horizontal="center" vertical="center"/>
      <protection hidden="1"/>
    </xf>
    <xf numFmtId="0" fontId="44" fillId="0" borderId="9" xfId="16" applyFont="1" applyBorder="1" applyAlignment="1" applyProtection="1">
      <alignment horizontal="center" vertical="center"/>
      <protection hidden="1"/>
    </xf>
    <xf numFmtId="0" fontId="44" fillId="0" borderId="12" xfId="16" applyFont="1" applyBorder="1" applyAlignment="1" applyProtection="1">
      <alignment horizontal="center" vertical="center"/>
      <protection hidden="1"/>
    </xf>
    <xf numFmtId="0" fontId="44" fillId="0" borderId="11" xfId="16" applyFont="1" applyBorder="1" applyAlignment="1" applyProtection="1">
      <alignment horizontal="center" vertical="center"/>
      <protection hidden="1"/>
    </xf>
    <xf numFmtId="0" fontId="44" fillId="0" borderId="11" xfId="16" applyFont="1" applyBorder="1" applyAlignment="1" applyProtection="1">
      <alignment horizontal="center" vertical="center" wrapText="1"/>
      <protection hidden="1"/>
    </xf>
    <xf numFmtId="0" fontId="44" fillId="0" borderId="9" xfId="16" applyFont="1" applyBorder="1" applyAlignment="1" applyProtection="1">
      <alignment horizontal="center" vertical="center" wrapText="1"/>
      <protection hidden="1"/>
    </xf>
    <xf numFmtId="0" fontId="44" fillId="0" borderId="12" xfId="16" applyFont="1" applyBorder="1" applyAlignment="1" applyProtection="1">
      <alignment horizontal="center" vertical="center" wrapText="1"/>
      <protection hidden="1"/>
    </xf>
    <xf numFmtId="0" fontId="44" fillId="0" borderId="4" xfId="16" applyFont="1" applyBorder="1" applyAlignment="1" applyProtection="1">
      <alignment horizontal="center" vertical="center" wrapText="1"/>
      <protection hidden="1"/>
    </xf>
    <xf numFmtId="0" fontId="44" fillId="0" borderId="2" xfId="16" applyFont="1" applyBorder="1" applyAlignment="1" applyProtection="1">
      <alignment horizontal="center" vertical="center" wrapText="1"/>
      <protection hidden="1"/>
    </xf>
    <xf numFmtId="0" fontId="44" fillId="0" borderId="3" xfId="16" applyFont="1" applyBorder="1" applyAlignment="1" applyProtection="1">
      <alignment horizontal="center" vertical="center" wrapText="1"/>
      <protection hidden="1"/>
    </xf>
    <xf numFmtId="0" fontId="44" fillId="0" borderId="6" xfId="16" applyFont="1" applyBorder="1" applyAlignment="1" applyProtection="1">
      <alignment horizontal="center" vertical="center" wrapText="1"/>
      <protection hidden="1"/>
    </xf>
    <xf numFmtId="0" fontId="44" fillId="0" borderId="0" xfId="16" applyFont="1" applyAlignment="1" applyProtection="1">
      <alignment horizontal="center" vertical="center" wrapText="1"/>
      <protection hidden="1"/>
    </xf>
    <xf numFmtId="0" fontId="44" fillId="0" borderId="5" xfId="16" applyFont="1" applyBorder="1" applyAlignment="1" applyProtection="1">
      <alignment horizontal="center" vertical="center" wrapText="1"/>
      <protection hidden="1"/>
    </xf>
    <xf numFmtId="0" fontId="51" fillId="2" borderId="32" xfId="16" applyFont="1" applyFill="1" applyBorder="1" applyAlignment="1" applyProtection="1">
      <alignment horizontal="center" vertical="center"/>
      <protection hidden="1"/>
    </xf>
    <xf numFmtId="0" fontId="51" fillId="2" borderId="33" xfId="16" applyFont="1" applyFill="1" applyBorder="1" applyAlignment="1" applyProtection="1">
      <alignment horizontal="center" vertical="center"/>
      <protection hidden="1"/>
    </xf>
    <xf numFmtId="0" fontId="51" fillId="2" borderId="32" xfId="17" applyNumberFormat="1" applyFont="1" applyFill="1" applyBorder="1" applyAlignment="1" applyProtection="1">
      <alignment horizontal="right" vertical="center"/>
      <protection hidden="1"/>
    </xf>
    <xf numFmtId="0" fontId="51" fillId="2" borderId="33" xfId="17" applyNumberFormat="1" applyFont="1" applyFill="1" applyBorder="1" applyAlignment="1" applyProtection="1">
      <alignment horizontal="right" vertical="center"/>
      <protection hidden="1"/>
    </xf>
    <xf numFmtId="0" fontId="51" fillId="2" borderId="53" xfId="16" applyFont="1" applyFill="1" applyBorder="1" applyAlignment="1" applyProtection="1">
      <alignment horizontal="center" vertical="center"/>
      <protection hidden="1"/>
    </xf>
    <xf numFmtId="0" fontId="51" fillId="2" borderId="54" xfId="16" applyFont="1" applyFill="1" applyBorder="1" applyAlignment="1" applyProtection="1">
      <alignment horizontal="center" vertical="center"/>
      <protection hidden="1"/>
    </xf>
    <xf numFmtId="0" fontId="51" fillId="2" borderId="35" xfId="17" applyNumberFormat="1" applyFont="1" applyFill="1" applyBorder="1" applyAlignment="1" applyProtection="1">
      <alignment horizontal="right" vertical="center"/>
      <protection hidden="1"/>
    </xf>
    <xf numFmtId="0" fontId="51" fillId="2" borderId="36" xfId="17" applyNumberFormat="1" applyFont="1" applyFill="1" applyBorder="1" applyAlignment="1" applyProtection="1">
      <alignment horizontal="right" vertical="center"/>
      <protection hidden="1"/>
    </xf>
    <xf numFmtId="0" fontId="51" fillId="2" borderId="53" xfId="17" applyNumberFormat="1" applyFont="1" applyFill="1" applyBorder="1" applyAlignment="1" applyProtection="1">
      <alignment horizontal="center" vertical="center"/>
      <protection hidden="1"/>
    </xf>
    <xf numFmtId="0" fontId="51" fillId="2" borderId="54" xfId="17" applyNumberFormat="1" applyFont="1" applyFill="1" applyBorder="1" applyAlignment="1" applyProtection="1">
      <alignment horizontal="center" vertical="center"/>
      <protection hidden="1"/>
    </xf>
    <xf numFmtId="0" fontId="10" fillId="0" borderId="2" xfId="16" applyFont="1" applyBorder="1" applyAlignment="1" applyProtection="1">
      <alignment horizontal="center" vertical="center" wrapText="1"/>
      <protection hidden="1"/>
    </xf>
    <xf numFmtId="0" fontId="10" fillId="0" borderId="3" xfId="16" applyFont="1" applyBorder="1" applyAlignment="1" applyProtection="1">
      <alignment horizontal="center" vertical="center" wrapText="1"/>
      <protection hidden="1"/>
    </xf>
    <xf numFmtId="0" fontId="10" fillId="0" borderId="6" xfId="16" applyFont="1" applyBorder="1" applyAlignment="1" applyProtection="1">
      <alignment horizontal="center" vertical="center"/>
      <protection hidden="1"/>
    </xf>
    <xf numFmtId="0" fontId="10" fillId="0" borderId="0" xfId="16" applyFont="1" applyAlignment="1" applyProtection="1">
      <alignment horizontal="center" vertical="center"/>
      <protection hidden="1"/>
    </xf>
    <xf numFmtId="0" fontId="10" fillId="0" borderId="5" xfId="16" applyFont="1" applyBorder="1" applyAlignment="1" applyProtection="1">
      <alignment horizontal="center" vertical="center"/>
      <protection hidden="1"/>
    </xf>
    <xf numFmtId="0" fontId="10" fillId="0" borderId="10" xfId="16" applyFont="1" applyBorder="1" applyAlignment="1" applyProtection="1">
      <alignment horizontal="center" vertical="center"/>
      <protection hidden="1"/>
    </xf>
    <xf numFmtId="0" fontId="10" fillId="0" borderId="8" xfId="16" applyFont="1" applyBorder="1" applyAlignment="1" applyProtection="1">
      <alignment horizontal="center" vertical="center"/>
      <protection hidden="1"/>
    </xf>
    <xf numFmtId="0" fontId="10" fillId="0" borderId="7" xfId="16" applyFont="1" applyBorder="1" applyAlignment="1" applyProtection="1">
      <alignment horizontal="center" vertical="center"/>
      <protection hidden="1"/>
    </xf>
    <xf numFmtId="185" fontId="51" fillId="5" borderId="0" xfId="17" applyNumberFormat="1" applyFont="1" applyFill="1" applyBorder="1" applyAlignment="1" applyProtection="1">
      <alignment horizontal="right" vertical="center"/>
      <protection locked="0"/>
    </xf>
    <xf numFmtId="0" fontId="51" fillId="2" borderId="35" xfId="16" applyFont="1" applyFill="1" applyBorder="1" applyAlignment="1" applyProtection="1">
      <alignment horizontal="center" vertical="center"/>
      <protection hidden="1"/>
    </xf>
    <xf numFmtId="0" fontId="51" fillId="2" borderId="36" xfId="16" applyFont="1" applyFill="1" applyBorder="1" applyAlignment="1" applyProtection="1">
      <alignment horizontal="center" vertical="center"/>
      <protection hidden="1"/>
    </xf>
    <xf numFmtId="186" fontId="51" fillId="2" borderId="8" xfId="17" applyNumberFormat="1" applyFont="1" applyFill="1" applyBorder="1" applyAlignment="1" applyProtection="1">
      <alignment horizontal="center" vertical="center"/>
      <protection hidden="1"/>
    </xf>
    <xf numFmtId="183" fontId="52" fillId="5" borderId="10" xfId="16" applyNumberFormat="1" applyFont="1" applyFill="1" applyBorder="1" applyAlignment="1" applyProtection="1">
      <alignment horizontal="center" vertical="center"/>
      <protection locked="0"/>
    </xf>
    <xf numFmtId="183" fontId="52" fillId="5" borderId="8" xfId="16" applyNumberFormat="1" applyFont="1" applyFill="1" applyBorder="1" applyAlignment="1" applyProtection="1">
      <alignment horizontal="center" vertical="center"/>
      <protection locked="0"/>
    </xf>
    <xf numFmtId="183" fontId="52" fillId="5" borderId="7" xfId="16" applyNumberFormat="1" applyFont="1" applyFill="1" applyBorder="1" applyAlignment="1" applyProtection="1">
      <alignment horizontal="center" vertical="center"/>
      <protection locked="0"/>
    </xf>
    <xf numFmtId="0" fontId="51" fillId="2" borderId="10" xfId="16" applyFont="1" applyFill="1" applyBorder="1" applyAlignment="1" applyProtection="1">
      <alignment horizontal="center" vertical="center" shrinkToFit="1"/>
      <protection hidden="1"/>
    </xf>
    <xf numFmtId="0" fontId="51" fillId="2" borderId="8" xfId="16" applyFont="1" applyFill="1" applyBorder="1" applyAlignment="1" applyProtection="1">
      <alignment horizontal="center" vertical="center" shrinkToFit="1"/>
      <protection hidden="1"/>
    </xf>
    <xf numFmtId="0" fontId="51" fillId="2" borderId="7" xfId="16" applyFont="1" applyFill="1" applyBorder="1" applyAlignment="1" applyProtection="1">
      <alignment horizontal="center" vertical="center" shrinkToFit="1"/>
      <protection hidden="1"/>
    </xf>
    <xf numFmtId="0" fontId="51" fillId="2" borderId="30" xfId="17" applyNumberFormat="1" applyFont="1" applyFill="1" applyBorder="1" applyAlignment="1" applyProtection="1">
      <alignment horizontal="center" vertical="center"/>
      <protection hidden="1"/>
    </xf>
    <xf numFmtId="0" fontId="51" fillId="2" borderId="29" xfId="17" applyNumberFormat="1" applyFont="1" applyFill="1" applyBorder="1" applyAlignment="1" applyProtection="1">
      <alignment horizontal="center" vertical="center"/>
      <protection hidden="1"/>
    </xf>
    <xf numFmtId="186" fontId="51" fillId="2" borderId="0" xfId="17" applyNumberFormat="1" applyFont="1" applyFill="1" applyBorder="1" applyAlignment="1" applyProtection="1">
      <alignment horizontal="center" vertical="center"/>
      <protection hidden="1"/>
    </xf>
    <xf numFmtId="38" fontId="7" fillId="0" borderId="8" xfId="17" applyFont="1" applyFill="1" applyBorder="1" applyAlignment="1" applyProtection="1">
      <alignment horizontal="right" vertical="center"/>
      <protection hidden="1"/>
    </xf>
    <xf numFmtId="0" fontId="51" fillId="2" borderId="30" xfId="17" applyNumberFormat="1" applyFont="1" applyFill="1" applyBorder="1" applyAlignment="1" applyProtection="1">
      <alignment horizontal="right" vertical="center"/>
      <protection hidden="1"/>
    </xf>
    <xf numFmtId="0" fontId="51" fillId="2" borderId="29" xfId="17" applyNumberFormat="1" applyFont="1" applyFill="1" applyBorder="1" applyAlignment="1" applyProtection="1">
      <alignment horizontal="right" vertical="center"/>
      <protection hidden="1"/>
    </xf>
    <xf numFmtId="0" fontId="51" fillId="2" borderId="10" xfId="17" applyNumberFormat="1" applyFont="1" applyFill="1" applyBorder="1" applyAlignment="1" applyProtection="1">
      <alignment horizontal="center" vertical="center"/>
      <protection hidden="1"/>
    </xf>
    <xf numFmtId="0" fontId="51" fillId="2" borderId="8" xfId="17" applyNumberFormat="1" applyFont="1" applyFill="1" applyBorder="1" applyAlignment="1" applyProtection="1">
      <alignment horizontal="center" vertical="center"/>
      <protection hidden="1"/>
    </xf>
    <xf numFmtId="0" fontId="44" fillId="0" borderId="38" xfId="16" applyFont="1" applyBorder="1" applyAlignment="1" applyProtection="1">
      <alignment horizontal="center" vertical="center"/>
      <protection hidden="1"/>
    </xf>
    <xf numFmtId="0" fontId="44" fillId="0" borderId="39" xfId="16" applyFont="1" applyBorder="1" applyAlignment="1" applyProtection="1">
      <alignment horizontal="center" vertical="center"/>
      <protection hidden="1"/>
    </xf>
    <xf numFmtId="0" fontId="44" fillId="0" borderId="40" xfId="16" applyFont="1" applyBorder="1" applyAlignment="1" applyProtection="1">
      <alignment horizontal="center" vertical="center"/>
      <protection hidden="1"/>
    </xf>
    <xf numFmtId="0" fontId="44" fillId="2" borderId="38" xfId="16" applyFont="1" applyFill="1" applyBorder="1" applyAlignment="1" applyProtection="1">
      <alignment horizontal="center" vertical="center"/>
      <protection hidden="1"/>
    </xf>
    <xf numFmtId="0" fontId="44" fillId="2" borderId="39" xfId="16" applyFont="1" applyFill="1" applyBorder="1" applyAlignment="1" applyProtection="1">
      <alignment horizontal="center" vertical="center"/>
      <protection hidden="1"/>
    </xf>
    <xf numFmtId="0" fontId="44" fillId="2" borderId="40" xfId="16" applyFont="1" applyFill="1" applyBorder="1" applyAlignment="1" applyProtection="1">
      <alignment horizontal="center" vertical="center"/>
      <protection hidden="1"/>
    </xf>
    <xf numFmtId="0" fontId="44" fillId="2" borderId="10" xfId="16" applyFont="1" applyFill="1" applyBorder="1" applyAlignment="1" applyProtection="1">
      <alignment horizontal="center" vertical="center"/>
      <protection hidden="1"/>
    </xf>
    <xf numFmtId="0" fontId="44" fillId="2" borderId="8" xfId="16" applyFont="1" applyFill="1" applyBorder="1" applyAlignment="1" applyProtection="1">
      <alignment horizontal="center" vertical="center"/>
      <protection hidden="1"/>
    </xf>
    <xf numFmtId="0" fontId="44" fillId="2" borderId="7" xfId="16" applyFont="1" applyFill="1" applyBorder="1" applyAlignment="1" applyProtection="1">
      <alignment horizontal="center" vertical="center"/>
      <protection hidden="1"/>
    </xf>
    <xf numFmtId="0" fontId="51" fillId="2" borderId="38" xfId="16" applyFont="1" applyFill="1" applyBorder="1" applyAlignment="1" applyProtection="1">
      <alignment horizontal="center" vertical="center"/>
      <protection hidden="1"/>
    </xf>
    <xf numFmtId="0" fontId="51" fillId="2" borderId="39" xfId="16" applyFont="1" applyFill="1" applyBorder="1" applyAlignment="1" applyProtection="1">
      <alignment horizontal="center" vertical="center"/>
      <protection hidden="1"/>
    </xf>
    <xf numFmtId="186" fontId="51" fillId="2" borderId="4" xfId="17" applyNumberFormat="1" applyFont="1" applyFill="1" applyBorder="1" applyAlignment="1" applyProtection="1">
      <alignment horizontal="center" vertical="center"/>
      <protection hidden="1"/>
    </xf>
    <xf numFmtId="186" fontId="51" fillId="2" borderId="2" xfId="17" applyNumberFormat="1" applyFont="1" applyFill="1" applyBorder="1" applyAlignment="1" applyProtection="1">
      <alignment horizontal="center" vertical="center"/>
      <protection hidden="1"/>
    </xf>
    <xf numFmtId="186" fontId="51" fillId="2" borderId="10" xfId="17" applyNumberFormat="1" applyFont="1" applyFill="1" applyBorder="1" applyAlignment="1" applyProtection="1">
      <alignment horizontal="center" vertical="center"/>
      <protection hidden="1"/>
    </xf>
    <xf numFmtId="186" fontId="51" fillId="2" borderId="38" xfId="17" applyNumberFormat="1" applyFont="1" applyFill="1" applyBorder="1" applyAlignment="1" applyProtection="1">
      <alignment horizontal="center" vertical="center"/>
      <protection hidden="1"/>
    </xf>
    <xf numFmtId="186" fontId="51" fillId="2" borderId="39" xfId="17" applyNumberFormat="1" applyFont="1" applyFill="1" applyBorder="1" applyAlignment="1" applyProtection="1">
      <alignment horizontal="center" vertical="center"/>
      <protection hidden="1"/>
    </xf>
    <xf numFmtId="186" fontId="51" fillId="2" borderId="4" xfId="16" applyNumberFormat="1" applyFont="1" applyFill="1" applyBorder="1" applyAlignment="1" applyProtection="1">
      <alignment horizontal="center" vertical="center"/>
      <protection hidden="1"/>
    </xf>
    <xf numFmtId="186" fontId="51" fillId="2" borderId="2" xfId="16" applyNumberFormat="1" applyFont="1" applyFill="1" applyBorder="1" applyAlignment="1" applyProtection="1">
      <alignment horizontal="center" vertical="center"/>
      <protection hidden="1"/>
    </xf>
    <xf numFmtId="186" fontId="51" fillId="2" borderId="10" xfId="16" applyNumberFormat="1" applyFont="1" applyFill="1" applyBorder="1" applyAlignment="1" applyProtection="1">
      <alignment horizontal="center" vertical="center"/>
      <protection hidden="1"/>
    </xf>
    <xf numFmtId="186" fontId="51" fillId="2" borderId="8" xfId="16" applyNumberFormat="1" applyFont="1" applyFill="1" applyBorder="1" applyAlignment="1" applyProtection="1">
      <alignment horizontal="center" vertical="center"/>
      <protection hidden="1"/>
    </xf>
    <xf numFmtId="186" fontId="51" fillId="2" borderId="32" xfId="16" applyNumberFormat="1" applyFont="1" applyFill="1" applyBorder="1" applyAlignment="1" applyProtection="1">
      <alignment horizontal="center" vertical="center"/>
      <protection hidden="1"/>
    </xf>
    <xf numFmtId="186" fontId="51" fillId="2" borderId="33" xfId="16" applyNumberFormat="1" applyFont="1" applyFill="1" applyBorder="1" applyAlignment="1" applyProtection="1">
      <alignment horizontal="center" vertical="center"/>
      <protection hidden="1"/>
    </xf>
    <xf numFmtId="182" fontId="51" fillId="2" borderId="46" xfId="17" applyNumberFormat="1" applyFont="1" applyFill="1" applyBorder="1" applyAlignment="1" applyProtection="1">
      <alignment horizontal="center" vertical="center"/>
      <protection hidden="1"/>
    </xf>
    <xf numFmtId="182" fontId="51" fillId="2" borderId="29" xfId="17" applyNumberFormat="1" applyFont="1" applyFill="1" applyBorder="1" applyAlignment="1" applyProtection="1">
      <alignment horizontal="center" vertical="center"/>
      <protection hidden="1"/>
    </xf>
    <xf numFmtId="0" fontId="44" fillId="0" borderId="44" xfId="16" applyFont="1" applyBorder="1" applyAlignment="1" applyProtection="1">
      <alignment horizontal="center" vertical="center"/>
      <protection hidden="1"/>
    </xf>
    <xf numFmtId="0" fontId="44" fillId="0" borderId="41" xfId="16" applyFont="1" applyBorder="1" applyAlignment="1" applyProtection="1">
      <alignment horizontal="center" vertical="center"/>
      <protection hidden="1"/>
    </xf>
    <xf numFmtId="186" fontId="51" fillId="2" borderId="35" xfId="17" applyNumberFormat="1" applyFont="1" applyFill="1" applyBorder="1" applyAlignment="1" applyProtection="1">
      <alignment horizontal="right" vertical="center"/>
      <protection hidden="1"/>
    </xf>
    <xf numFmtId="186" fontId="51" fillId="2" borderId="36" xfId="17" applyNumberFormat="1" applyFont="1" applyFill="1" applyBorder="1" applyAlignment="1" applyProtection="1">
      <alignment horizontal="right" vertical="center"/>
      <protection hidden="1"/>
    </xf>
    <xf numFmtId="186" fontId="51" fillId="2" borderId="30" xfId="17" applyNumberFormat="1" applyFont="1" applyFill="1" applyBorder="1" applyAlignment="1" applyProtection="1">
      <alignment horizontal="right" vertical="center"/>
      <protection hidden="1"/>
    </xf>
    <xf numFmtId="186" fontId="51" fillId="2" borderId="29" xfId="17" applyNumberFormat="1" applyFont="1" applyFill="1" applyBorder="1" applyAlignment="1" applyProtection="1">
      <alignment horizontal="right" vertical="center"/>
      <protection hidden="1"/>
    </xf>
    <xf numFmtId="186" fontId="51" fillId="2" borderId="10" xfId="17" applyNumberFormat="1" applyFont="1" applyFill="1" applyBorder="1" applyAlignment="1" applyProtection="1">
      <alignment horizontal="right" vertical="center"/>
      <protection hidden="1"/>
    </xf>
    <xf numFmtId="186" fontId="51" fillId="2" borderId="8" xfId="17" applyNumberFormat="1" applyFont="1" applyFill="1" applyBorder="1" applyAlignment="1" applyProtection="1">
      <alignment horizontal="right" vertical="center"/>
      <protection hidden="1"/>
    </xf>
    <xf numFmtId="186" fontId="51" fillId="2" borderId="10" xfId="17" applyNumberFormat="1" applyFont="1" applyFill="1" applyBorder="1" applyAlignment="1" applyProtection="1">
      <alignment vertical="center"/>
      <protection hidden="1"/>
    </xf>
    <xf numFmtId="186" fontId="51" fillId="2" borderId="8" xfId="17" applyNumberFormat="1" applyFont="1" applyFill="1" applyBorder="1" applyAlignment="1" applyProtection="1">
      <alignment vertical="center"/>
      <protection hidden="1"/>
    </xf>
    <xf numFmtId="0" fontId="44" fillId="0" borderId="48" xfId="16" applyFont="1" applyBorder="1" applyAlignment="1" applyProtection="1">
      <alignment horizontal="center" vertical="center"/>
      <protection hidden="1"/>
    </xf>
    <xf numFmtId="0" fontId="44" fillId="0" borderId="49" xfId="16" applyFont="1" applyBorder="1" applyAlignment="1" applyProtection="1">
      <alignment horizontal="center" vertical="center"/>
      <protection hidden="1"/>
    </xf>
    <xf numFmtId="0" fontId="44" fillId="0" borderId="50" xfId="16" applyFont="1" applyBorder="1" applyAlignment="1" applyProtection="1">
      <alignment horizontal="center" vertical="center"/>
      <protection hidden="1"/>
    </xf>
    <xf numFmtId="0" fontId="44" fillId="0" borderId="51" xfId="16" applyFont="1" applyBorder="1" applyAlignment="1" applyProtection="1">
      <alignment horizontal="center" vertical="center"/>
      <protection hidden="1"/>
    </xf>
    <xf numFmtId="0" fontId="44" fillId="0" borderId="44" xfId="16" applyFont="1" applyBorder="1" applyAlignment="1" applyProtection="1">
      <alignment horizontal="center" vertical="center" shrinkToFit="1"/>
      <protection hidden="1"/>
    </xf>
    <xf numFmtId="0" fontId="44" fillId="0" borderId="2" xfId="16" applyFont="1" applyBorder="1" applyAlignment="1" applyProtection="1">
      <alignment horizontal="center" vertical="center" shrinkToFit="1"/>
      <protection hidden="1"/>
    </xf>
    <xf numFmtId="0" fontId="44" fillId="0" borderId="41" xfId="16" applyFont="1" applyBorder="1" applyAlignment="1" applyProtection="1">
      <alignment horizontal="center" vertical="center" shrinkToFit="1"/>
      <protection hidden="1"/>
    </xf>
    <xf numFmtId="186" fontId="51" fillId="2" borderId="29" xfId="16" applyNumberFormat="1" applyFont="1" applyFill="1" applyBorder="1" applyAlignment="1" applyProtection="1">
      <alignment horizontal="center" vertical="center"/>
      <protection hidden="1"/>
    </xf>
    <xf numFmtId="186" fontId="51" fillId="2" borderId="46" xfId="17" applyNumberFormat="1" applyFont="1" applyFill="1" applyBorder="1" applyAlignment="1" applyProtection="1">
      <alignment horizontal="center" vertical="center"/>
      <protection hidden="1"/>
    </xf>
    <xf numFmtId="186" fontId="51" fillId="2" borderId="29" xfId="17" applyNumberFormat="1" applyFont="1" applyFill="1" applyBorder="1" applyAlignment="1" applyProtection="1">
      <alignment horizontal="center" vertical="center"/>
      <protection hidden="1"/>
    </xf>
    <xf numFmtId="0" fontId="44" fillId="0" borderId="45" xfId="16" applyFont="1" applyBorder="1" applyAlignment="1" applyProtection="1">
      <alignment horizontal="center" vertical="center"/>
      <protection hidden="1"/>
    </xf>
    <xf numFmtId="0" fontId="44" fillId="0" borderId="42" xfId="16" applyFont="1" applyBorder="1" applyAlignment="1" applyProtection="1">
      <alignment horizontal="center" vertical="center"/>
      <protection hidden="1"/>
    </xf>
    <xf numFmtId="0" fontId="44" fillId="0" borderId="33" xfId="16" applyFont="1" applyBorder="1" applyAlignment="1" applyProtection="1">
      <alignment horizontal="center" vertical="center"/>
      <protection hidden="1"/>
    </xf>
    <xf numFmtId="0" fontId="44" fillId="0" borderId="43" xfId="16" applyFont="1" applyBorder="1" applyAlignment="1" applyProtection="1">
      <alignment horizontal="center" vertical="center"/>
      <protection hidden="1"/>
    </xf>
    <xf numFmtId="182" fontId="51" fillId="2" borderId="52" xfId="16" applyNumberFormat="1" applyFont="1" applyFill="1" applyBorder="1" applyAlignment="1" applyProtection="1">
      <alignment horizontal="center" vertical="center"/>
      <protection hidden="1"/>
    </xf>
    <xf numFmtId="182" fontId="51" fillId="2" borderId="9" xfId="16" applyNumberFormat="1" applyFont="1" applyFill="1" applyBorder="1" applyAlignment="1" applyProtection="1">
      <alignment horizontal="center" vertical="center"/>
      <protection hidden="1"/>
    </xf>
    <xf numFmtId="186" fontId="51" fillId="2" borderId="52" xfId="16" applyNumberFormat="1" applyFont="1" applyFill="1" applyBorder="1" applyAlignment="1" applyProtection="1">
      <alignment horizontal="center" vertical="center"/>
      <protection hidden="1"/>
    </xf>
    <xf numFmtId="186" fontId="51" fillId="2" borderId="9" xfId="16" applyNumberFormat="1" applyFont="1" applyFill="1" applyBorder="1" applyAlignment="1" applyProtection="1">
      <alignment horizontal="center" vertical="center"/>
      <protection hidden="1"/>
    </xf>
    <xf numFmtId="182" fontId="51" fillId="2" borderId="52" xfId="16" applyNumberFormat="1" applyFont="1" applyFill="1" applyBorder="1" applyAlignment="1" applyProtection="1">
      <alignment horizontal="center" vertical="center" shrinkToFit="1"/>
      <protection hidden="1"/>
    </xf>
    <xf numFmtId="182" fontId="51" fillId="2" borderId="9" xfId="16" applyNumberFormat="1" applyFont="1" applyFill="1" applyBorder="1" applyAlignment="1" applyProtection="1">
      <alignment horizontal="center" vertical="center" shrinkToFit="1"/>
      <protection hidden="1"/>
    </xf>
    <xf numFmtId="0" fontId="51" fillId="5" borderId="0" xfId="16" applyFont="1" applyFill="1" applyAlignment="1" applyProtection="1">
      <alignment horizontal="center" vertical="center" shrinkToFit="1"/>
      <protection locked="0" hidden="1"/>
    </xf>
    <xf numFmtId="186" fontId="51" fillId="2" borderId="0" xfId="16" applyNumberFormat="1" applyFont="1" applyFill="1" applyAlignment="1" applyProtection="1">
      <alignment horizontal="center" vertical="center"/>
      <protection hidden="1"/>
    </xf>
    <xf numFmtId="0" fontId="7" fillId="0" borderId="0" xfId="17" applyNumberFormat="1" applyFont="1" applyFill="1" applyBorder="1" applyAlignment="1" applyProtection="1">
      <alignment horizontal="right" vertical="center"/>
      <protection hidden="1"/>
    </xf>
    <xf numFmtId="0" fontId="44" fillId="0" borderId="36" xfId="16" applyFont="1" applyBorder="1" applyAlignment="1" applyProtection="1">
      <alignment horizontal="center" vertical="center"/>
      <protection hidden="1"/>
    </xf>
    <xf numFmtId="0" fontId="44" fillId="0" borderId="37" xfId="16" applyFont="1" applyBorder="1" applyAlignment="1" applyProtection="1">
      <alignment horizontal="center" vertical="center"/>
      <protection hidden="1"/>
    </xf>
    <xf numFmtId="0" fontId="44" fillId="0" borderId="6" xfId="16" applyFont="1" applyBorder="1" applyAlignment="1" applyProtection="1">
      <alignment horizontal="left" vertical="top" wrapText="1"/>
      <protection hidden="1"/>
    </xf>
    <xf numFmtId="0" fontId="44" fillId="0" borderId="0" xfId="16" applyFont="1" applyAlignment="1" applyProtection="1">
      <alignment horizontal="left" vertical="top" wrapText="1"/>
      <protection hidden="1"/>
    </xf>
    <xf numFmtId="0" fontId="44" fillId="0" borderId="5" xfId="16" applyFont="1" applyBorder="1" applyAlignment="1" applyProtection="1">
      <alignment horizontal="left" vertical="top" wrapText="1"/>
      <protection hidden="1"/>
    </xf>
    <xf numFmtId="0" fontId="44" fillId="0" borderId="10" xfId="16" applyFont="1" applyBorder="1" applyAlignment="1" applyProtection="1">
      <alignment horizontal="left" vertical="top" wrapText="1"/>
      <protection hidden="1"/>
    </xf>
    <xf numFmtId="0" fontId="44" fillId="0" borderId="8" xfId="16" applyFont="1" applyBorder="1" applyAlignment="1" applyProtection="1">
      <alignment horizontal="left" vertical="top" wrapText="1"/>
      <protection hidden="1"/>
    </xf>
    <xf numFmtId="0" fontId="44" fillId="0" borderId="7" xfId="16" applyFont="1" applyBorder="1" applyAlignment="1" applyProtection="1">
      <alignment horizontal="left" vertical="top" wrapText="1"/>
      <protection hidden="1"/>
    </xf>
    <xf numFmtId="0" fontId="44" fillId="0" borderId="38" xfId="16" applyFont="1" applyBorder="1" applyProtection="1">
      <alignment vertical="center"/>
      <protection hidden="1"/>
    </xf>
    <xf numFmtId="0" fontId="44" fillId="0" borderId="39" xfId="16" applyFont="1" applyBorder="1" applyProtection="1">
      <alignment vertical="center"/>
      <protection hidden="1"/>
    </xf>
    <xf numFmtId="0" fontId="44" fillId="0" borderId="40" xfId="16" applyFont="1" applyBorder="1" applyProtection="1">
      <alignment vertical="center"/>
      <protection hidden="1"/>
    </xf>
    <xf numFmtId="0" fontId="44" fillId="0" borderId="6" xfId="16" applyFont="1" applyBorder="1" applyProtection="1">
      <alignment vertical="center"/>
      <protection hidden="1"/>
    </xf>
    <xf numFmtId="0" fontId="44" fillId="0" borderId="0" xfId="16" applyFont="1" applyProtection="1">
      <alignment vertical="center"/>
      <protection hidden="1"/>
    </xf>
    <xf numFmtId="0" fontId="44" fillId="0" borderId="5" xfId="16" applyFont="1" applyBorder="1" applyProtection="1">
      <alignment vertical="center"/>
      <protection hidden="1"/>
    </xf>
    <xf numFmtId="0" fontId="44" fillId="0" borderId="6" xfId="16" applyFont="1" applyBorder="1" applyAlignment="1" applyProtection="1">
      <alignment horizontal="left" vertical="center" wrapText="1"/>
      <protection hidden="1"/>
    </xf>
    <xf numFmtId="0" fontId="44" fillId="0" borderId="0" xfId="16" applyFont="1" applyAlignment="1" applyProtection="1">
      <alignment horizontal="left" vertical="center" wrapText="1"/>
      <protection hidden="1"/>
    </xf>
    <xf numFmtId="0" fontId="44" fillId="0" borderId="5" xfId="16" applyFont="1" applyBorder="1" applyAlignment="1" applyProtection="1">
      <alignment horizontal="left" vertical="center" wrapText="1"/>
      <protection hidden="1"/>
    </xf>
    <xf numFmtId="0" fontId="7" fillId="0" borderId="2" xfId="2" applyBorder="1" applyProtection="1">
      <protection hidden="1"/>
    </xf>
    <xf numFmtId="0" fontId="7" fillId="0" borderId="0" xfId="2" applyProtection="1">
      <protection hidden="1"/>
    </xf>
    <xf numFmtId="0" fontId="44" fillId="17" borderId="11" xfId="16" applyFont="1" applyFill="1" applyBorder="1" applyAlignment="1" applyProtection="1">
      <alignment horizontal="center" vertical="center"/>
      <protection hidden="1"/>
    </xf>
    <xf numFmtId="0" fontId="44" fillId="17" borderId="9" xfId="16" applyFont="1" applyFill="1" applyBorder="1" applyAlignment="1" applyProtection="1">
      <alignment horizontal="center" vertical="center"/>
      <protection hidden="1"/>
    </xf>
    <xf numFmtId="0" fontId="44" fillId="17" borderId="48" xfId="16" applyFont="1" applyFill="1" applyBorder="1" applyAlignment="1" applyProtection="1">
      <alignment horizontal="center" vertical="center"/>
      <protection hidden="1"/>
    </xf>
    <xf numFmtId="0" fontId="44" fillId="17" borderId="49" xfId="16" applyFont="1" applyFill="1" applyBorder="1" applyAlignment="1" applyProtection="1">
      <alignment horizontal="center" vertical="center"/>
      <protection hidden="1"/>
    </xf>
    <xf numFmtId="0" fontId="44" fillId="17" borderId="50" xfId="16" applyFont="1" applyFill="1" applyBorder="1" applyAlignment="1" applyProtection="1">
      <alignment horizontal="center" vertical="center"/>
      <protection hidden="1"/>
    </xf>
    <xf numFmtId="0" fontId="44" fillId="17" borderId="51" xfId="16" applyFont="1" applyFill="1" applyBorder="1" applyAlignment="1" applyProtection="1">
      <alignment horizontal="center" vertical="center"/>
      <protection hidden="1"/>
    </xf>
    <xf numFmtId="0" fontId="44" fillId="17" borderId="52" xfId="16" applyFont="1" applyFill="1" applyBorder="1" applyAlignment="1" applyProtection="1">
      <alignment horizontal="center" vertical="center"/>
      <protection hidden="1"/>
    </xf>
    <xf numFmtId="3" fontId="44" fillId="17" borderId="52" xfId="16" applyNumberFormat="1" applyFont="1" applyFill="1" applyBorder="1" applyAlignment="1" applyProtection="1">
      <alignment horizontal="center" vertical="center" shrinkToFit="1"/>
      <protection hidden="1"/>
    </xf>
    <xf numFmtId="0" fontId="44" fillId="17" borderId="9" xfId="16" applyFont="1" applyFill="1" applyBorder="1" applyAlignment="1" applyProtection="1">
      <alignment horizontal="center" vertical="center" shrinkToFit="1"/>
      <protection hidden="1"/>
    </xf>
    <xf numFmtId="3" fontId="44" fillId="17" borderId="52" xfId="16" applyNumberFormat="1" applyFont="1" applyFill="1" applyBorder="1" applyAlignment="1" applyProtection="1">
      <alignment horizontal="center" vertical="center"/>
      <protection hidden="1"/>
    </xf>
    <xf numFmtId="0" fontId="44" fillId="17" borderId="4" xfId="16" applyFont="1" applyFill="1" applyBorder="1" applyAlignment="1" applyProtection="1">
      <alignment horizontal="center" vertical="center"/>
      <protection hidden="1"/>
    </xf>
    <xf numFmtId="0" fontId="44" fillId="17" borderId="2" xfId="16" applyFont="1" applyFill="1" applyBorder="1" applyAlignment="1" applyProtection="1">
      <alignment horizontal="center" vertical="center"/>
      <protection hidden="1"/>
    </xf>
    <xf numFmtId="0" fontId="44" fillId="17" borderId="3" xfId="16" applyFont="1" applyFill="1" applyBorder="1" applyAlignment="1" applyProtection="1">
      <alignment horizontal="center" vertical="center"/>
      <protection hidden="1"/>
    </xf>
    <xf numFmtId="0" fontId="44" fillId="17" borderId="6" xfId="16" applyFont="1" applyFill="1" applyBorder="1" applyAlignment="1" applyProtection="1">
      <alignment horizontal="center" vertical="center"/>
      <protection hidden="1"/>
    </xf>
    <xf numFmtId="0" fontId="44" fillId="17" borderId="0" xfId="16" applyFont="1" applyFill="1" applyAlignment="1" applyProtection="1">
      <alignment horizontal="center" vertical="center"/>
      <protection hidden="1"/>
    </xf>
    <xf numFmtId="0" fontId="44" fillId="17" borderId="5" xfId="16" applyFont="1" applyFill="1" applyBorder="1" applyAlignment="1" applyProtection="1">
      <alignment horizontal="center" vertical="center"/>
      <protection hidden="1"/>
    </xf>
    <xf numFmtId="0" fontId="44" fillId="17" borderId="10" xfId="16" applyFont="1" applyFill="1" applyBorder="1" applyAlignment="1" applyProtection="1">
      <alignment horizontal="center" vertical="center"/>
      <protection hidden="1"/>
    </xf>
    <xf numFmtId="0" fontId="44" fillId="17" borderId="8" xfId="16" applyFont="1" applyFill="1" applyBorder="1" applyAlignment="1" applyProtection="1">
      <alignment horizontal="center" vertical="center"/>
      <protection hidden="1"/>
    </xf>
    <xf numFmtId="0" fontId="44" fillId="17" borderId="7" xfId="16" applyFont="1" applyFill="1" applyBorder="1" applyAlignment="1" applyProtection="1">
      <alignment horizontal="center" vertical="center"/>
      <protection hidden="1"/>
    </xf>
    <xf numFmtId="0" fontId="44" fillId="17" borderId="29" xfId="16" applyFont="1" applyFill="1" applyBorder="1" applyAlignment="1" applyProtection="1">
      <alignment horizontal="center" vertical="center"/>
      <protection hidden="1"/>
    </xf>
    <xf numFmtId="38" fontId="7" fillId="17" borderId="46" xfId="17" applyFont="1" applyFill="1" applyBorder="1" applyAlignment="1" applyProtection="1">
      <alignment horizontal="center" vertical="center"/>
      <protection hidden="1"/>
    </xf>
    <xf numFmtId="38" fontId="7" fillId="17" borderId="29" xfId="17" applyFont="1" applyFill="1" applyBorder="1" applyAlignment="1" applyProtection="1">
      <alignment horizontal="center" vertical="center"/>
      <protection hidden="1"/>
    </xf>
    <xf numFmtId="38" fontId="7" fillId="17" borderId="29" xfId="17" applyFont="1" applyFill="1" applyBorder="1" applyAlignment="1" applyProtection="1">
      <alignment horizontal="right" vertical="center"/>
      <protection hidden="1"/>
    </xf>
    <xf numFmtId="38" fontId="7" fillId="17" borderId="8" xfId="17" applyFont="1" applyFill="1" applyBorder="1" applyAlignment="1" applyProtection="1">
      <alignment horizontal="right" vertical="center"/>
      <protection hidden="1"/>
    </xf>
    <xf numFmtId="0" fontId="44" fillId="17" borderId="41" xfId="16" applyFont="1" applyFill="1" applyBorder="1" applyAlignment="1" applyProtection="1">
      <alignment horizontal="center" vertical="center"/>
      <protection hidden="1"/>
    </xf>
    <xf numFmtId="0" fontId="44" fillId="17" borderId="45" xfId="16" applyFont="1" applyFill="1" applyBorder="1" applyAlignment="1" applyProtection="1">
      <alignment horizontal="center" vertical="center"/>
      <protection hidden="1"/>
    </xf>
    <xf numFmtId="0" fontId="44" fillId="17" borderId="42" xfId="16" applyFont="1" applyFill="1" applyBorder="1" applyAlignment="1" applyProtection="1">
      <alignment horizontal="center" vertical="center"/>
      <protection hidden="1"/>
    </xf>
    <xf numFmtId="0" fontId="44" fillId="17" borderId="33" xfId="16" applyFont="1" applyFill="1" applyBorder="1" applyAlignment="1" applyProtection="1">
      <alignment horizontal="center" vertical="center"/>
      <protection hidden="1"/>
    </xf>
    <xf numFmtId="0" fontId="44" fillId="17" borderId="43" xfId="16" applyFont="1" applyFill="1" applyBorder="1" applyAlignment="1" applyProtection="1">
      <alignment horizontal="center" vertical="center"/>
      <protection hidden="1"/>
    </xf>
    <xf numFmtId="0" fontId="44" fillId="17" borderId="44" xfId="16" applyFont="1" applyFill="1" applyBorder="1" applyAlignment="1" applyProtection="1">
      <alignment horizontal="center" vertical="center"/>
      <protection hidden="1"/>
    </xf>
    <xf numFmtId="0" fontId="44" fillId="17" borderId="44" xfId="16" applyFont="1" applyFill="1" applyBorder="1" applyAlignment="1" applyProtection="1">
      <alignment horizontal="center" vertical="center" shrinkToFit="1"/>
      <protection hidden="1"/>
    </xf>
    <xf numFmtId="0" fontId="44" fillId="17" borderId="2" xfId="16" applyFont="1" applyFill="1" applyBorder="1" applyAlignment="1" applyProtection="1">
      <alignment horizontal="center" vertical="center" shrinkToFit="1"/>
      <protection hidden="1"/>
    </xf>
    <xf numFmtId="0" fontId="44" fillId="17" borderId="41" xfId="16" applyFont="1" applyFill="1" applyBorder="1" applyAlignment="1" applyProtection="1">
      <alignment horizontal="center" vertical="center" shrinkToFit="1"/>
      <protection hidden="1"/>
    </xf>
    <xf numFmtId="186" fontId="44" fillId="2" borderId="4" xfId="16" applyNumberFormat="1" applyFont="1" applyFill="1" applyBorder="1" applyAlignment="1" applyProtection="1">
      <alignment horizontal="center" vertical="center"/>
      <protection hidden="1"/>
    </xf>
    <xf numFmtId="186" fontId="44" fillId="2" borderId="2" xfId="16" applyNumberFormat="1" applyFont="1" applyFill="1" applyBorder="1" applyAlignment="1" applyProtection="1">
      <alignment horizontal="center" vertical="center"/>
      <protection hidden="1"/>
    </xf>
    <xf numFmtId="186" fontId="44" fillId="2" borderId="10" xfId="16" applyNumberFormat="1" applyFont="1" applyFill="1" applyBorder="1" applyAlignment="1" applyProtection="1">
      <alignment horizontal="center" vertical="center"/>
      <protection hidden="1"/>
    </xf>
    <xf numFmtId="186" fontId="44" fillId="2" borderId="8" xfId="16" applyNumberFormat="1" applyFont="1" applyFill="1" applyBorder="1" applyAlignment="1" applyProtection="1">
      <alignment horizontal="center" vertical="center"/>
      <protection hidden="1"/>
    </xf>
    <xf numFmtId="186" fontId="47" fillId="2" borderId="4" xfId="16" applyNumberFormat="1" applyFont="1" applyFill="1" applyBorder="1" applyAlignment="1" applyProtection="1">
      <alignment horizontal="center" vertical="center"/>
      <protection hidden="1"/>
    </xf>
    <xf numFmtId="186" fontId="47" fillId="2" borderId="2" xfId="16" applyNumberFormat="1" applyFont="1" applyFill="1" applyBorder="1" applyAlignment="1" applyProtection="1">
      <alignment horizontal="center" vertical="center"/>
      <protection hidden="1"/>
    </xf>
    <xf numFmtId="186" fontId="47" fillId="2" borderId="10" xfId="16" applyNumberFormat="1" applyFont="1" applyFill="1" applyBorder="1" applyAlignment="1" applyProtection="1">
      <alignment horizontal="center" vertical="center"/>
      <protection hidden="1"/>
    </xf>
    <xf numFmtId="186" fontId="47" fillId="2" borderId="8" xfId="16" applyNumberFormat="1" applyFont="1" applyFill="1" applyBorder="1" applyAlignment="1" applyProtection="1">
      <alignment horizontal="center" vertical="center"/>
      <protection hidden="1"/>
    </xf>
    <xf numFmtId="186" fontId="44" fillId="2" borderId="32" xfId="16" applyNumberFormat="1" applyFont="1" applyFill="1" applyBorder="1" applyAlignment="1" applyProtection="1">
      <alignment horizontal="center" vertical="center"/>
      <protection hidden="1"/>
    </xf>
    <xf numFmtId="186" fontId="44" fillId="2" borderId="33" xfId="16" applyNumberFormat="1" applyFont="1" applyFill="1" applyBorder="1" applyAlignment="1" applyProtection="1">
      <alignment horizontal="center" vertical="center"/>
      <protection hidden="1"/>
    </xf>
    <xf numFmtId="186" fontId="7" fillId="2" borderId="32" xfId="17" applyNumberFormat="1" applyFont="1" applyFill="1" applyBorder="1" applyAlignment="1" applyProtection="1">
      <alignment horizontal="right" vertical="center"/>
      <protection hidden="1"/>
    </xf>
    <xf numFmtId="186" fontId="7" fillId="2" borderId="33" xfId="17" applyNumberFormat="1" applyFont="1" applyFill="1" applyBorder="1" applyAlignment="1" applyProtection="1">
      <alignment horizontal="right" vertical="center"/>
      <protection hidden="1"/>
    </xf>
    <xf numFmtId="186" fontId="7" fillId="2" borderId="30" xfId="17" applyNumberFormat="1" applyFont="1" applyFill="1" applyBorder="1" applyAlignment="1" applyProtection="1">
      <alignment horizontal="right" vertical="center"/>
      <protection hidden="1"/>
    </xf>
    <xf numFmtId="186" fontId="7" fillId="2" borderId="29" xfId="17" applyNumberFormat="1" applyFont="1" applyFill="1" applyBorder="1" applyAlignment="1" applyProtection="1">
      <alignment horizontal="right" vertical="center"/>
      <protection hidden="1"/>
    </xf>
    <xf numFmtId="186" fontId="7" fillId="2" borderId="10" xfId="17" applyNumberFormat="1" applyFont="1" applyFill="1" applyBorder="1" applyAlignment="1" applyProtection="1">
      <alignment horizontal="right" vertical="center"/>
      <protection hidden="1"/>
    </xf>
    <xf numFmtId="186" fontId="7" fillId="2" borderId="8" xfId="17" applyNumberFormat="1" applyFont="1" applyFill="1" applyBorder="1" applyAlignment="1" applyProtection="1">
      <alignment horizontal="right" vertical="center"/>
      <protection hidden="1"/>
    </xf>
    <xf numFmtId="186" fontId="7" fillId="2" borderId="10" xfId="17" applyNumberFormat="1" applyFont="1" applyFill="1" applyBorder="1" applyAlignment="1" applyProtection="1">
      <alignment vertical="center"/>
      <protection hidden="1"/>
    </xf>
    <xf numFmtId="186" fontId="7" fillId="2" borderId="8" xfId="17" applyNumberFormat="1" applyFont="1" applyFill="1" applyBorder="1" applyAlignment="1" applyProtection="1">
      <alignment vertical="center"/>
      <protection hidden="1"/>
    </xf>
    <xf numFmtId="0" fontId="44" fillId="2" borderId="4" xfId="16" applyFont="1" applyFill="1" applyBorder="1" applyAlignment="1" applyProtection="1">
      <alignment horizontal="center" vertical="center"/>
      <protection hidden="1"/>
    </xf>
    <xf numFmtId="0" fontId="44" fillId="2" borderId="2" xfId="16" applyFont="1" applyFill="1" applyBorder="1" applyAlignment="1" applyProtection="1">
      <alignment horizontal="center" vertical="center"/>
      <protection hidden="1"/>
    </xf>
    <xf numFmtId="0" fontId="44" fillId="2" borderId="3" xfId="16" applyFont="1" applyFill="1" applyBorder="1" applyAlignment="1" applyProtection="1">
      <alignment horizontal="center" vertical="center"/>
      <protection hidden="1"/>
    </xf>
    <xf numFmtId="186" fontId="7" fillId="2" borderId="4" xfId="17" applyNumberFormat="1" applyFont="1" applyFill="1" applyBorder="1" applyAlignment="1" applyProtection="1">
      <alignment horizontal="center" vertical="center"/>
      <protection hidden="1"/>
    </xf>
    <xf numFmtId="186" fontId="7" fillId="2" borderId="2" xfId="17" applyNumberFormat="1" applyFont="1" applyFill="1" applyBorder="1" applyAlignment="1" applyProtection="1">
      <alignment horizontal="center" vertical="center"/>
      <protection hidden="1"/>
    </xf>
    <xf numFmtId="186" fontId="7" fillId="2" borderId="10" xfId="17" applyNumberFormat="1" applyFont="1" applyFill="1" applyBorder="1" applyAlignment="1" applyProtection="1">
      <alignment horizontal="center" vertical="center"/>
      <protection hidden="1"/>
    </xf>
    <xf numFmtId="186" fontId="7" fillId="2" borderId="8" xfId="17" applyNumberFormat="1" applyFont="1" applyFill="1" applyBorder="1" applyAlignment="1" applyProtection="1">
      <alignment horizontal="center" vertical="center"/>
      <protection hidden="1"/>
    </xf>
    <xf numFmtId="186" fontId="10" fillId="2" borderId="4" xfId="17" applyNumberFormat="1" applyFont="1" applyFill="1" applyBorder="1" applyAlignment="1" applyProtection="1">
      <alignment horizontal="center" vertical="center"/>
      <protection hidden="1"/>
    </xf>
    <xf numFmtId="186" fontId="10" fillId="2" borderId="2" xfId="17" applyNumberFormat="1" applyFont="1" applyFill="1" applyBorder="1" applyAlignment="1" applyProtection="1">
      <alignment horizontal="center" vertical="center"/>
      <protection hidden="1"/>
    </xf>
    <xf numFmtId="186" fontId="10" fillId="2" borderId="10" xfId="17" applyNumberFormat="1" applyFont="1" applyFill="1" applyBorder="1" applyAlignment="1" applyProtection="1">
      <alignment horizontal="center" vertical="center"/>
      <protection hidden="1"/>
    </xf>
    <xf numFmtId="186" fontId="10" fillId="2" borderId="8" xfId="17" applyNumberFormat="1" applyFont="1" applyFill="1" applyBorder="1" applyAlignment="1" applyProtection="1">
      <alignment horizontal="center" vertical="center"/>
      <protection hidden="1"/>
    </xf>
    <xf numFmtId="0" fontId="44" fillId="2" borderId="35" xfId="16" applyFont="1" applyFill="1" applyBorder="1" applyAlignment="1" applyProtection="1">
      <alignment horizontal="center" vertical="center"/>
      <protection hidden="1"/>
    </xf>
    <xf numFmtId="0" fontId="44" fillId="2" borderId="36" xfId="16" applyFont="1" applyFill="1" applyBorder="1" applyAlignment="1" applyProtection="1">
      <alignment horizontal="center" vertical="center"/>
      <protection hidden="1"/>
    </xf>
    <xf numFmtId="0" fontId="7" fillId="2" borderId="35" xfId="17" applyNumberFormat="1" applyFont="1" applyFill="1" applyBorder="1" applyAlignment="1" applyProtection="1">
      <alignment horizontal="right" vertical="center"/>
      <protection hidden="1"/>
    </xf>
    <xf numFmtId="0" fontId="7" fillId="2" borderId="36" xfId="17" applyNumberFormat="1" applyFont="1" applyFill="1" applyBorder="1" applyAlignment="1" applyProtection="1">
      <alignment horizontal="right" vertical="center"/>
      <protection hidden="1"/>
    </xf>
    <xf numFmtId="0" fontId="7" fillId="2" borderId="53" xfId="17" applyNumberFormat="1" applyFont="1" applyFill="1" applyBorder="1" applyAlignment="1" applyProtection="1">
      <alignment horizontal="center" vertical="center"/>
      <protection hidden="1"/>
    </xf>
    <xf numFmtId="0" fontId="7" fillId="2" borderId="54" xfId="17" applyNumberFormat="1" applyFont="1" applyFill="1" applyBorder="1" applyAlignment="1" applyProtection="1">
      <alignment horizontal="center" vertical="center"/>
      <protection hidden="1"/>
    </xf>
    <xf numFmtId="38" fontId="7" fillId="17" borderId="0" xfId="17" applyFont="1" applyFill="1" applyBorder="1" applyAlignment="1" applyProtection="1">
      <alignment horizontal="center" vertical="center"/>
      <protection hidden="1"/>
    </xf>
    <xf numFmtId="0" fontId="44" fillId="5" borderId="38" xfId="16" applyFont="1" applyFill="1" applyBorder="1" applyAlignment="1" applyProtection="1">
      <alignment horizontal="center" vertical="center"/>
      <protection locked="0"/>
    </xf>
    <xf numFmtId="0" fontId="44" fillId="5" borderId="39" xfId="16" applyFont="1" applyFill="1" applyBorder="1" applyAlignment="1" applyProtection="1">
      <alignment horizontal="center" vertical="center"/>
      <protection locked="0"/>
    </xf>
    <xf numFmtId="0" fontId="44" fillId="5" borderId="40" xfId="16" applyFont="1" applyFill="1" applyBorder="1" applyAlignment="1" applyProtection="1">
      <alignment horizontal="center" vertical="center"/>
      <protection locked="0"/>
    </xf>
    <xf numFmtId="0" fontId="44" fillId="5" borderId="6" xfId="16" applyFont="1" applyFill="1" applyBorder="1" applyAlignment="1" applyProtection="1">
      <alignment horizontal="center" vertical="center"/>
      <protection locked="0"/>
    </xf>
    <xf numFmtId="0" fontId="44" fillId="5" borderId="0" xfId="16" applyFont="1" applyFill="1" applyAlignment="1" applyProtection="1">
      <alignment horizontal="center" vertical="center"/>
      <protection locked="0"/>
    </xf>
    <xf numFmtId="0" fontId="44" fillId="5" borderId="5" xfId="16" applyFont="1" applyFill="1" applyBorder="1" applyAlignment="1" applyProtection="1">
      <alignment horizontal="center" vertical="center"/>
      <protection locked="0"/>
    </xf>
    <xf numFmtId="0" fontId="44" fillId="2" borderId="6" xfId="16" applyFont="1" applyFill="1" applyBorder="1" applyAlignment="1" applyProtection="1">
      <alignment horizontal="center" vertical="center"/>
      <protection hidden="1"/>
    </xf>
    <xf numFmtId="0" fontId="44" fillId="2" borderId="0" xfId="16" applyFont="1" applyFill="1" applyAlignment="1" applyProtection="1">
      <alignment horizontal="center" vertical="center"/>
      <protection hidden="1"/>
    </xf>
    <xf numFmtId="0" fontId="44" fillId="2" borderId="5" xfId="16" applyFont="1" applyFill="1" applyBorder="1" applyAlignment="1" applyProtection="1">
      <alignment horizontal="center" vertical="center"/>
      <protection hidden="1"/>
    </xf>
    <xf numFmtId="0" fontId="7" fillId="2" borderId="35" xfId="17" applyNumberFormat="1" applyFont="1" applyFill="1" applyBorder="1" applyAlignment="1" applyProtection="1">
      <alignment horizontal="center" vertical="center"/>
      <protection hidden="1"/>
    </xf>
    <xf numFmtId="0" fontId="7" fillId="2" borderId="36" xfId="17" applyNumberFormat="1" applyFont="1" applyFill="1" applyBorder="1" applyAlignment="1" applyProtection="1">
      <alignment horizontal="center" vertical="center"/>
      <protection hidden="1"/>
    </xf>
    <xf numFmtId="0" fontId="7" fillId="2" borderId="30" xfId="17" applyNumberFormat="1" applyFont="1" applyFill="1" applyBorder="1" applyAlignment="1" applyProtection="1">
      <alignment horizontal="center" vertical="center"/>
      <protection hidden="1"/>
    </xf>
    <xf numFmtId="0" fontId="7" fillId="2" borderId="29" xfId="17" applyNumberFormat="1" applyFont="1" applyFill="1" applyBorder="1" applyAlignment="1" applyProtection="1">
      <alignment horizontal="center" vertical="center"/>
      <protection hidden="1"/>
    </xf>
    <xf numFmtId="182" fontId="44" fillId="2" borderId="35" xfId="16" applyNumberFormat="1" applyFont="1" applyFill="1" applyBorder="1" applyAlignment="1" applyProtection="1">
      <alignment horizontal="center" vertical="center"/>
      <protection hidden="1"/>
    </xf>
    <xf numFmtId="182" fontId="44" fillId="2" borderId="36" xfId="16" applyNumberFormat="1" applyFont="1" applyFill="1" applyBorder="1" applyAlignment="1" applyProtection="1">
      <alignment horizontal="center" vertical="center"/>
      <protection hidden="1"/>
    </xf>
    <xf numFmtId="0" fontId="7" fillId="2" borderId="38" xfId="17" applyNumberFormat="1" applyFont="1" applyFill="1" applyBorder="1" applyAlignment="1" applyProtection="1">
      <alignment horizontal="right" vertical="center"/>
      <protection hidden="1"/>
    </xf>
    <xf numFmtId="0" fontId="7" fillId="2" borderId="39" xfId="17" applyNumberFormat="1" applyFont="1" applyFill="1" applyBorder="1" applyAlignment="1" applyProtection="1">
      <alignment horizontal="right" vertical="center"/>
      <protection hidden="1"/>
    </xf>
    <xf numFmtId="0" fontId="7" fillId="2" borderId="6" xfId="17" applyNumberFormat="1" applyFont="1" applyFill="1" applyBorder="1" applyAlignment="1" applyProtection="1">
      <alignment horizontal="center" vertical="center"/>
      <protection hidden="1"/>
    </xf>
    <xf numFmtId="0" fontId="7" fillId="2" borderId="0" xfId="17" applyNumberFormat="1" applyFont="1" applyFill="1" applyBorder="1" applyAlignment="1" applyProtection="1">
      <alignment horizontal="center" vertical="center"/>
      <protection hidden="1"/>
    </xf>
    <xf numFmtId="0" fontId="44" fillId="5" borderId="53" xfId="16" applyFont="1" applyFill="1" applyBorder="1" applyAlignment="1" applyProtection="1">
      <alignment horizontal="center" vertical="center"/>
      <protection locked="0"/>
    </xf>
    <xf numFmtId="0" fontId="44" fillId="5" borderId="54" xfId="16" applyFont="1" applyFill="1" applyBorder="1" applyAlignment="1" applyProtection="1">
      <alignment horizontal="center" vertical="center"/>
      <protection locked="0"/>
    </xf>
    <xf numFmtId="0" fontId="44" fillId="5" borderId="55" xfId="16" applyFont="1" applyFill="1" applyBorder="1" applyAlignment="1" applyProtection="1">
      <alignment horizontal="center" vertical="center"/>
      <protection locked="0"/>
    </xf>
    <xf numFmtId="0" fontId="44" fillId="2" borderId="53" xfId="16" applyFont="1" applyFill="1" applyBorder="1" applyAlignment="1" applyProtection="1">
      <alignment horizontal="center" vertical="center"/>
      <protection hidden="1"/>
    </xf>
    <xf numFmtId="0" fontId="44" fillId="2" borderId="54" xfId="16" applyFont="1" applyFill="1" applyBorder="1" applyAlignment="1" applyProtection="1">
      <alignment horizontal="center" vertical="center"/>
      <protection hidden="1"/>
    </xf>
    <xf numFmtId="0" fontId="44" fillId="2" borderId="55" xfId="16" applyFont="1" applyFill="1" applyBorder="1" applyAlignment="1" applyProtection="1">
      <alignment horizontal="center" vertical="center"/>
      <protection hidden="1"/>
    </xf>
    <xf numFmtId="38" fontId="7" fillId="17" borderId="8" xfId="17" applyFont="1" applyFill="1" applyBorder="1" applyAlignment="1" applyProtection="1">
      <alignment horizontal="center" vertical="center"/>
      <protection hidden="1"/>
    </xf>
    <xf numFmtId="0" fontId="7" fillId="17" borderId="8" xfId="17" applyNumberFormat="1" applyFont="1" applyFill="1" applyBorder="1" applyAlignment="1" applyProtection="1">
      <alignment horizontal="center" vertical="center"/>
      <protection hidden="1"/>
    </xf>
    <xf numFmtId="56" fontId="44" fillId="5" borderId="38" xfId="16" applyNumberFormat="1" applyFont="1" applyFill="1" applyBorder="1" applyAlignment="1" applyProtection="1">
      <alignment horizontal="center" vertical="center"/>
      <protection locked="0"/>
    </xf>
    <xf numFmtId="38" fontId="7" fillId="17" borderId="0" xfId="17" applyFont="1" applyFill="1" applyBorder="1" applyAlignment="1" applyProtection="1">
      <alignment horizontal="right" vertical="center"/>
      <protection hidden="1"/>
    </xf>
    <xf numFmtId="0" fontId="7" fillId="2" borderId="32" xfId="17" applyNumberFormat="1" applyFont="1" applyFill="1" applyBorder="1" applyAlignment="1" applyProtection="1">
      <alignment horizontal="center" vertical="center"/>
      <protection hidden="1"/>
    </xf>
    <xf numFmtId="0" fontId="7" fillId="2" borderId="33" xfId="17" applyNumberFormat="1" applyFont="1" applyFill="1" applyBorder="1" applyAlignment="1" applyProtection="1">
      <alignment horizontal="center" vertical="center"/>
      <protection hidden="1"/>
    </xf>
    <xf numFmtId="182" fontId="44" fillId="2" borderId="32" xfId="16" applyNumberFormat="1" applyFont="1" applyFill="1" applyBorder="1" applyAlignment="1" applyProtection="1">
      <alignment horizontal="center" vertical="center"/>
      <protection hidden="1"/>
    </xf>
    <xf numFmtId="182" fontId="44" fillId="2" borderId="33" xfId="16" applyNumberFormat="1" applyFont="1" applyFill="1" applyBorder="1" applyAlignment="1" applyProtection="1">
      <alignment horizontal="center" vertical="center"/>
      <protection hidden="1"/>
    </xf>
    <xf numFmtId="186" fontId="44" fillId="2" borderId="0" xfId="16" applyNumberFormat="1" applyFont="1" applyFill="1" applyAlignment="1" applyProtection="1">
      <alignment horizontal="center" vertical="center"/>
      <protection hidden="1"/>
    </xf>
    <xf numFmtId="0" fontId="7" fillId="2" borderId="32" xfId="17" applyNumberFormat="1" applyFont="1" applyFill="1" applyBorder="1" applyAlignment="1" applyProtection="1">
      <alignment horizontal="right" vertical="center"/>
      <protection hidden="1"/>
    </xf>
    <xf numFmtId="0" fontId="7" fillId="2" borderId="33" xfId="17" applyNumberFormat="1" applyFont="1" applyFill="1" applyBorder="1" applyAlignment="1" applyProtection="1">
      <alignment horizontal="right" vertical="center"/>
      <protection hidden="1"/>
    </xf>
    <xf numFmtId="38" fontId="46" fillId="17" borderId="4" xfId="16" applyNumberFormat="1" applyFont="1" applyFill="1" applyBorder="1" applyAlignment="1" applyProtection="1">
      <alignment horizontal="center" vertical="center"/>
      <protection hidden="1"/>
    </xf>
    <xf numFmtId="0" fontId="46" fillId="17" borderId="2" xfId="16" applyFont="1" applyFill="1" applyBorder="1" applyAlignment="1" applyProtection="1">
      <alignment horizontal="center" vertical="center"/>
      <protection hidden="1"/>
    </xf>
    <xf numFmtId="0" fontId="46" fillId="17" borderId="10" xfId="16" applyFont="1" applyFill="1" applyBorder="1" applyAlignment="1" applyProtection="1">
      <alignment horizontal="center" vertical="center"/>
      <protection hidden="1"/>
    </xf>
    <xf numFmtId="0" fontId="46" fillId="17" borderId="8" xfId="16" applyFont="1" applyFill="1" applyBorder="1" applyAlignment="1" applyProtection="1">
      <alignment horizontal="center" vertical="center"/>
      <protection hidden="1"/>
    </xf>
    <xf numFmtId="0" fontId="45" fillId="2" borderId="0" xfId="16" applyFont="1" applyFill="1" applyAlignment="1" applyProtection="1">
      <alignment horizontal="right" vertical="center"/>
      <protection hidden="1"/>
    </xf>
  </cellXfs>
  <cellStyles count="18">
    <cellStyle name="ハイパーリンク" xfId="11" builtinId="8"/>
    <cellStyle name="ハイパーリンク 2" xfId="6" xr:uid="{00000000-0005-0000-0000-000001000000}"/>
    <cellStyle name="桁区切り" xfId="1" builtinId="6"/>
    <cellStyle name="桁区切り 2" xfId="5" xr:uid="{00000000-0005-0000-0000-000003000000}"/>
    <cellStyle name="桁区切り 3" xfId="8" xr:uid="{00000000-0005-0000-0000-000004000000}"/>
    <cellStyle name="桁区切り 4" xfId="10" xr:uid="{00000000-0005-0000-0000-000005000000}"/>
    <cellStyle name="桁区切り 5" xfId="13" xr:uid="{D47237B8-C12F-4364-83AC-C9A6F5D5AFE0}"/>
    <cellStyle name="桁区切り 6" xfId="15" xr:uid="{691242A5-3B12-4CD9-8DF1-C889AFCDF6B2}"/>
    <cellStyle name="桁区切り 6 2" xfId="17" xr:uid="{8840E7B4-9DF9-492C-9566-FC72BA601336}"/>
    <cellStyle name="標準" xfId="0" builtinId="0"/>
    <cellStyle name="標準 2" xfId="3" xr:uid="{00000000-0005-0000-0000-000007000000}"/>
    <cellStyle name="標準 3" xfId="7" xr:uid="{00000000-0005-0000-0000-000008000000}"/>
    <cellStyle name="標準 4" xfId="9" xr:uid="{00000000-0005-0000-0000-000009000000}"/>
    <cellStyle name="標準 5" xfId="12" xr:uid="{F4AA5943-1196-4605-A281-339833E9DBC1}"/>
    <cellStyle name="標準 6" xfId="14" xr:uid="{98EF2A4F-0B35-4747-BCB0-91B5A594ADC9}"/>
    <cellStyle name="標準 6 2" xfId="16" xr:uid="{16A95FB5-1F18-4D08-86E5-3B0311A68F10}"/>
    <cellStyle name="標準_23マニュアルxls" xfId="2" xr:uid="{00000000-0005-0000-0000-00000A000000}"/>
    <cellStyle name="標準_C届出用紙（再任用付）" xfId="4" xr:uid="{00000000-0005-0000-0000-00000B000000}"/>
  </cellStyles>
  <dxfs count="33">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8"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CECFF"/>
      <color rgb="FFFFFF99"/>
      <color rgb="FFFFCCFF"/>
      <color rgb="FFFFFFCC"/>
      <color rgb="FFCCFFCC"/>
      <color rgb="FFCCFFFF"/>
      <color rgb="FFFFDF79"/>
      <color rgb="FFFFE181"/>
      <color rgb="FF0000FF"/>
      <color rgb="FFC208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jorudan.co.jp/norika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BZ141"/>
  <sheetViews>
    <sheetView showGridLines="0" tabSelected="1" view="pageBreakPreview" topLeftCell="B8" zoomScale="70" zoomScaleNormal="70" zoomScaleSheetLayoutView="70" workbookViewId="0">
      <selection activeCell="J21" sqref="J21:P22"/>
    </sheetView>
  </sheetViews>
  <sheetFormatPr defaultColWidth="13.125" defaultRowHeight="9.9499999999999993" customHeight="1" x14ac:dyDescent="0.15"/>
  <cols>
    <col min="1" max="1" width="1.375" style="23" hidden="1" customWidth="1"/>
    <col min="2" max="2" width="5.375" style="23" customWidth="1"/>
    <col min="3" max="3" width="6.25" style="23" customWidth="1"/>
    <col min="4" max="8" width="7.5" style="23" customWidth="1"/>
    <col min="9" max="9" width="8.375" style="23" customWidth="1"/>
    <col min="10" max="10" width="9.25" style="23" customWidth="1"/>
    <col min="11" max="11" width="7.5" style="23" customWidth="1"/>
    <col min="12" max="12" width="7.875" style="23" customWidth="1"/>
    <col min="13" max="13" width="9.625" style="23" customWidth="1"/>
    <col min="14" max="15" width="7.5" style="23" customWidth="1"/>
    <col min="16" max="16" width="11.75" style="23" customWidth="1"/>
    <col min="17" max="17" width="7.25" style="23" customWidth="1"/>
    <col min="18" max="18" width="10.875" style="23" customWidth="1"/>
    <col min="19" max="19" width="6.875" style="23" customWidth="1"/>
    <col min="20" max="20" width="9.125" style="23" customWidth="1"/>
    <col min="21" max="21" width="5.375" style="23" customWidth="1"/>
    <col min="22" max="22" width="9.75" style="23" customWidth="1"/>
    <col min="23" max="23" width="5" style="23" customWidth="1"/>
    <col min="24" max="24" width="12.25" style="23" customWidth="1"/>
    <col min="25" max="25" width="9" style="23" customWidth="1"/>
    <col min="26" max="26" width="8.5" style="23" customWidth="1"/>
    <col min="27" max="27" width="6.875" style="23" bestFit="1" customWidth="1"/>
    <col min="28" max="33" width="6.125" style="23" customWidth="1"/>
    <col min="34" max="34" width="8.375" style="23" customWidth="1"/>
    <col min="35" max="35" width="5.125" style="23" customWidth="1"/>
    <col min="36" max="37" width="3.5" style="23" customWidth="1"/>
    <col min="38" max="38" width="5.125" style="23" customWidth="1"/>
    <col min="39" max="42" width="3.5" style="23" customWidth="1"/>
    <col min="43" max="43" width="11.75" style="23" customWidth="1"/>
    <col min="44" max="48" width="6" style="23" customWidth="1"/>
    <col min="49" max="49" width="9.25" style="23" bestFit="1" customWidth="1"/>
    <col min="50" max="50" width="3.625" style="23" bestFit="1" customWidth="1"/>
    <col min="51" max="51" width="6.5" style="23" customWidth="1"/>
    <col min="52" max="52" width="4" style="23" customWidth="1"/>
    <col min="53" max="58" width="13.125" style="23" customWidth="1"/>
    <col min="59" max="16384" width="13.125" style="23"/>
  </cols>
  <sheetData>
    <row r="1" spans="1:50" ht="14.25" hidden="1" customHeight="1" x14ac:dyDescent="0.15">
      <c r="A1" s="84">
        <v>0</v>
      </c>
      <c r="B1" s="47">
        <v>1</v>
      </c>
      <c r="C1" s="47">
        <v>2</v>
      </c>
      <c r="D1" s="47">
        <v>3</v>
      </c>
      <c r="E1" s="47"/>
      <c r="F1" s="47">
        <v>4</v>
      </c>
      <c r="G1" s="47"/>
      <c r="H1" s="47">
        <v>5</v>
      </c>
      <c r="I1" s="47"/>
      <c r="J1" s="47">
        <v>6</v>
      </c>
      <c r="K1" s="47"/>
      <c r="L1" s="47">
        <v>7</v>
      </c>
      <c r="M1" s="47"/>
      <c r="N1" s="47">
        <v>8</v>
      </c>
      <c r="O1" s="47"/>
      <c r="P1" s="47">
        <v>9</v>
      </c>
      <c r="Q1" s="47"/>
      <c r="R1" s="47">
        <v>10</v>
      </c>
      <c r="S1" s="47"/>
      <c r="T1" s="47">
        <v>11</v>
      </c>
      <c r="U1" s="47"/>
      <c r="V1" s="47">
        <v>12</v>
      </c>
      <c r="W1" s="47"/>
      <c r="X1" s="47">
        <v>13</v>
      </c>
      <c r="Y1" s="47"/>
      <c r="Z1" s="47">
        <v>14</v>
      </c>
      <c r="AA1" s="47"/>
      <c r="AB1" s="47">
        <v>15</v>
      </c>
      <c r="AC1" s="47"/>
      <c r="AD1" s="47">
        <v>16</v>
      </c>
      <c r="AE1" s="47"/>
      <c r="AF1" s="47">
        <v>17</v>
      </c>
      <c r="AG1" s="47"/>
      <c r="AH1" s="47">
        <v>18</v>
      </c>
      <c r="AI1" s="47"/>
      <c r="AJ1" s="47">
        <v>19</v>
      </c>
      <c r="AK1" s="47"/>
      <c r="AL1" s="47">
        <v>20</v>
      </c>
      <c r="AM1" s="47"/>
      <c r="AN1" s="47">
        <v>21</v>
      </c>
      <c r="AO1" s="47">
        <v>22</v>
      </c>
      <c r="AP1" s="47">
        <v>23</v>
      </c>
      <c r="AQ1" s="47">
        <v>24</v>
      </c>
      <c r="AR1" s="47">
        <v>25</v>
      </c>
      <c r="AS1" s="47">
        <v>26</v>
      </c>
      <c r="AT1" s="47">
        <v>27</v>
      </c>
      <c r="AU1" s="47">
        <v>28</v>
      </c>
      <c r="AV1" s="47">
        <v>29</v>
      </c>
      <c r="AW1" s="47">
        <v>30</v>
      </c>
    </row>
    <row r="2" spans="1:50" ht="18.75" customHeight="1" thickBot="1" x14ac:dyDescent="0.2">
      <c r="A2" s="48"/>
      <c r="B2" s="243" t="s">
        <v>311</v>
      </c>
      <c r="P2" s="85"/>
      <c r="S2" s="102" t="s">
        <v>147</v>
      </c>
      <c r="AN2" s="85"/>
    </row>
    <row r="3" spans="1:50" ht="18.75" customHeight="1" thickBot="1" x14ac:dyDescent="0.2">
      <c r="A3" s="48"/>
      <c r="C3" s="85" t="s">
        <v>112</v>
      </c>
      <c r="I3" s="362" t="s">
        <v>157</v>
      </c>
      <c r="J3" s="362"/>
      <c r="K3" s="362"/>
      <c r="L3" s="362"/>
      <c r="M3" s="362"/>
      <c r="N3" s="265"/>
      <c r="O3" s="86"/>
      <c r="P3" s="85"/>
      <c r="Q3" s="85"/>
      <c r="R3" s="283"/>
      <c r="S3" s="360"/>
      <c r="T3" s="361"/>
      <c r="U3" s="85"/>
      <c r="V3" s="85"/>
      <c r="W3" s="85"/>
      <c r="X3" s="85"/>
      <c r="Y3" s="265"/>
      <c r="Z3" s="265"/>
      <c r="AA3" s="265"/>
      <c r="AB3" s="265"/>
      <c r="AC3" s="265"/>
      <c r="AD3" s="265"/>
      <c r="AE3" s="265"/>
      <c r="AF3" s="265"/>
      <c r="AG3" s="265"/>
      <c r="AH3" s="265"/>
      <c r="AI3" s="265"/>
      <c r="AJ3" s="265"/>
      <c r="AK3" s="265"/>
      <c r="AL3" s="265"/>
      <c r="AM3" s="278"/>
      <c r="AN3" s="85"/>
      <c r="AO3" s="85"/>
      <c r="AP3" s="85"/>
      <c r="AQ3" s="85"/>
      <c r="AR3" s="85"/>
      <c r="AS3" s="85"/>
      <c r="AT3" s="85"/>
      <c r="AU3" s="85"/>
      <c r="AV3" s="85"/>
    </row>
    <row r="4" spans="1:50" ht="18.75" customHeight="1" x14ac:dyDescent="0.15">
      <c r="A4" s="48"/>
      <c r="C4" s="354"/>
      <c r="D4" s="355"/>
      <c r="E4" s="355"/>
      <c r="F4" s="355"/>
      <c r="G4" s="355"/>
      <c r="H4" s="356"/>
      <c r="I4" s="362"/>
      <c r="J4" s="362"/>
      <c r="K4" s="362"/>
      <c r="L4" s="362"/>
      <c r="M4" s="362"/>
      <c r="N4" s="265"/>
      <c r="O4" s="86"/>
      <c r="P4" s="86"/>
      <c r="Q4" s="86"/>
      <c r="R4" s="265"/>
      <c r="S4" s="265"/>
      <c r="T4" s="265"/>
      <c r="U4" s="265"/>
      <c r="V4" s="265"/>
      <c r="W4" s="265"/>
      <c r="X4" s="265"/>
      <c r="Y4" s="265"/>
      <c r="Z4" s="265"/>
      <c r="AA4" s="265"/>
      <c r="AB4" s="265"/>
      <c r="AC4" s="265"/>
      <c r="AD4" s="265"/>
      <c r="AE4" s="265"/>
      <c r="AF4" s="265"/>
      <c r="AG4" s="265"/>
      <c r="AH4" s="265"/>
      <c r="AI4" s="265"/>
      <c r="AJ4" s="265"/>
      <c r="AK4" s="265"/>
      <c r="AL4" s="265"/>
      <c r="AM4" s="278"/>
    </row>
    <row r="5" spans="1:50" ht="18.75" customHeight="1" thickBot="1" x14ac:dyDescent="0.2">
      <c r="A5" s="48"/>
      <c r="C5" s="357"/>
      <c r="D5" s="358"/>
      <c r="E5" s="358"/>
      <c r="F5" s="358"/>
      <c r="G5" s="358"/>
      <c r="H5" s="359"/>
      <c r="I5" s="362"/>
      <c r="J5" s="362"/>
      <c r="K5" s="362"/>
      <c r="L5" s="362"/>
      <c r="M5" s="362"/>
      <c r="N5" s="92"/>
      <c r="O5" s="23" t="s">
        <v>286</v>
      </c>
      <c r="Q5" s="93"/>
      <c r="R5" s="23" t="s">
        <v>287</v>
      </c>
      <c r="S5" s="94"/>
      <c r="T5" s="23" t="s">
        <v>288</v>
      </c>
      <c r="X5" s="265"/>
      <c r="Y5" s="265"/>
      <c r="Z5" s="265"/>
      <c r="AA5" s="265"/>
      <c r="AB5" s="265"/>
      <c r="AC5" s="265"/>
      <c r="AD5" s="265"/>
      <c r="AE5" s="265"/>
      <c r="AF5" s="265"/>
      <c r="AG5" s="265"/>
      <c r="AH5" s="265"/>
      <c r="AI5" s="265"/>
      <c r="AJ5" s="265"/>
      <c r="AK5" s="265"/>
      <c r="AL5" s="265"/>
      <c r="AM5" s="278"/>
    </row>
    <row r="6" spans="1:50" ht="18.75" customHeight="1" x14ac:dyDescent="0.15">
      <c r="A6" s="48"/>
    </row>
    <row r="7" spans="1:50" ht="15.75" x14ac:dyDescent="0.15">
      <c r="A7" s="48"/>
      <c r="C7" s="135" t="s">
        <v>16</v>
      </c>
      <c r="D7" s="136"/>
      <c r="E7" s="136"/>
      <c r="F7" s="136"/>
      <c r="G7" s="136"/>
      <c r="H7" s="136"/>
      <c r="I7" s="136"/>
      <c r="J7" s="136"/>
      <c r="K7" s="136"/>
      <c r="L7" s="136"/>
      <c r="M7" s="136"/>
      <c r="N7" s="136"/>
      <c r="O7" s="136"/>
      <c r="P7" s="136"/>
      <c r="Q7" s="136"/>
      <c r="R7" s="136"/>
      <c r="S7" s="136"/>
      <c r="T7" s="263"/>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124"/>
      <c r="AX7" s="124"/>
    </row>
    <row r="8" spans="1:50" ht="15.75" x14ac:dyDescent="0.15">
      <c r="A8" s="48"/>
      <c r="C8" s="370" t="s">
        <v>17</v>
      </c>
      <c r="D8" s="371"/>
      <c r="E8" s="371"/>
      <c r="F8" s="371"/>
      <c r="G8" s="370" t="s">
        <v>18</v>
      </c>
      <c r="H8" s="371"/>
      <c r="I8" s="371"/>
      <c r="J8" s="371"/>
      <c r="K8" s="371"/>
      <c r="L8" s="363" t="s">
        <v>19</v>
      </c>
      <c r="M8" s="364"/>
      <c r="N8" s="364"/>
      <c r="O8" s="364"/>
      <c r="P8" s="364"/>
      <c r="Q8" s="370" t="s">
        <v>31</v>
      </c>
      <c r="R8" s="371"/>
      <c r="S8" s="370" t="s">
        <v>32</v>
      </c>
      <c r="T8" s="372"/>
      <c r="U8" s="264"/>
      <c r="AG8" s="264"/>
    </row>
    <row r="9" spans="1:50" ht="15.75" x14ac:dyDescent="0.15">
      <c r="A9" s="48"/>
      <c r="C9" s="378" t="s">
        <v>486</v>
      </c>
      <c r="D9" s="379"/>
      <c r="E9" s="379"/>
      <c r="F9" s="380"/>
      <c r="G9" s="322" t="s">
        <v>487</v>
      </c>
      <c r="H9" s="323"/>
      <c r="I9" s="323"/>
      <c r="J9" s="323"/>
      <c r="K9" s="324"/>
      <c r="L9" s="323"/>
      <c r="M9" s="323"/>
      <c r="N9" s="323"/>
      <c r="O9" s="323"/>
      <c r="P9" s="323"/>
      <c r="Q9" s="366"/>
      <c r="R9" s="470"/>
      <c r="S9" s="366"/>
      <c r="T9" s="367"/>
      <c r="U9" s="53"/>
      <c r="AG9" s="53"/>
      <c r="AH9" s="26"/>
      <c r="AI9" s="26"/>
      <c r="AJ9" s="26"/>
      <c r="AK9" s="26"/>
      <c r="AL9" s="26"/>
      <c r="AM9" s="26"/>
      <c r="AN9" s="26"/>
      <c r="AO9" s="26"/>
      <c r="AP9" s="26"/>
      <c r="AQ9" s="26"/>
      <c r="AR9" s="26"/>
      <c r="AS9" s="26"/>
      <c r="AT9" s="26"/>
      <c r="AU9" s="26"/>
      <c r="AV9" s="26"/>
    </row>
    <row r="10" spans="1:50" ht="17.45" customHeight="1" x14ac:dyDescent="0.15">
      <c r="A10" s="48"/>
      <c r="C10" s="381"/>
      <c r="D10" s="382"/>
      <c r="E10" s="382"/>
      <c r="F10" s="383"/>
      <c r="G10" s="325"/>
      <c r="H10" s="326"/>
      <c r="I10" s="326"/>
      <c r="J10" s="326"/>
      <c r="K10" s="327"/>
      <c r="L10" s="326"/>
      <c r="M10" s="326"/>
      <c r="N10" s="326"/>
      <c r="O10" s="326"/>
      <c r="P10" s="326"/>
      <c r="Q10" s="368"/>
      <c r="R10" s="471"/>
      <c r="S10" s="368"/>
      <c r="T10" s="369"/>
      <c r="U10" s="53"/>
      <c r="AG10" s="53"/>
      <c r="AH10" s="26"/>
      <c r="AI10" s="26"/>
      <c r="AJ10" s="26"/>
      <c r="AK10" s="26"/>
      <c r="AL10" s="26"/>
      <c r="AM10" s="26"/>
      <c r="AN10" s="26"/>
      <c r="AO10" s="26"/>
      <c r="AP10" s="26"/>
      <c r="AQ10" s="26"/>
      <c r="AR10" s="26"/>
      <c r="AS10" s="26"/>
      <c r="AT10" s="26"/>
      <c r="AU10" s="26"/>
      <c r="AV10" s="26"/>
    </row>
    <row r="11" spans="1:50" ht="15.75" x14ac:dyDescent="0.15">
      <c r="A11" s="48"/>
      <c r="C11" s="363" t="s">
        <v>20</v>
      </c>
      <c r="D11" s="364"/>
      <c r="E11" s="364"/>
      <c r="F11" s="365"/>
      <c r="G11" s="370" t="s">
        <v>21</v>
      </c>
      <c r="H11" s="371"/>
      <c r="I11" s="371"/>
      <c r="J11" s="371"/>
      <c r="K11" s="371"/>
      <c r="L11" s="371"/>
      <c r="M11" s="371"/>
      <c r="N11" s="372"/>
      <c r="O11" s="363" t="s">
        <v>22</v>
      </c>
      <c r="P11" s="364"/>
      <c r="Q11" s="364"/>
      <c r="R11" s="364"/>
      <c r="S11" s="364"/>
      <c r="T11" s="365"/>
    </row>
    <row r="12" spans="1:50" ht="15.75" x14ac:dyDescent="0.15">
      <c r="A12" s="48"/>
      <c r="C12" s="322"/>
      <c r="D12" s="323"/>
      <c r="E12" s="323"/>
      <c r="F12" s="324"/>
      <c r="G12" s="322"/>
      <c r="H12" s="323"/>
      <c r="I12" s="323"/>
      <c r="J12" s="323"/>
      <c r="K12" s="323"/>
      <c r="L12" s="323"/>
      <c r="M12" s="323"/>
      <c r="N12" s="324"/>
      <c r="O12" s="322"/>
      <c r="P12" s="323"/>
      <c r="Q12" s="323"/>
      <c r="R12" s="323"/>
      <c r="S12" s="323"/>
      <c r="T12" s="324"/>
      <c r="AG12" s="53"/>
      <c r="AX12" s="23">
        <f>IF(AND(C4&lt;&gt;"指定要員（災害対策職員住宅）の移転料の申請",C4&lt;&gt;"",AT21&lt;&gt;"島しょ",AT21&lt;&gt;"",AT36="島しょ"),5,0)</f>
        <v>0</v>
      </c>
    </row>
    <row r="13" spans="1:50" ht="15.75" x14ac:dyDescent="0.15">
      <c r="A13" s="48"/>
      <c r="C13" s="325"/>
      <c r="D13" s="326"/>
      <c r="E13" s="326"/>
      <c r="F13" s="327"/>
      <c r="G13" s="325"/>
      <c r="H13" s="326"/>
      <c r="I13" s="326"/>
      <c r="J13" s="326"/>
      <c r="K13" s="326"/>
      <c r="L13" s="326"/>
      <c r="M13" s="326"/>
      <c r="N13" s="327"/>
      <c r="O13" s="325"/>
      <c r="P13" s="326"/>
      <c r="Q13" s="326"/>
      <c r="R13" s="326"/>
      <c r="S13" s="326"/>
      <c r="T13" s="327"/>
      <c r="AG13" s="53"/>
      <c r="AX13" s="23">
        <f>IF(AND(C4&lt;&gt;"",C4&lt;&gt;"指定要員（災害対策職員住宅）の移転料の申請",AT21&lt;&gt;"島しょ",AT36&lt;&gt;"島しょ",AT21&lt;&gt;"",AT36&lt;&gt;""),2,0)</f>
        <v>0</v>
      </c>
    </row>
    <row r="14" spans="1:50" ht="15.75" x14ac:dyDescent="0.15">
      <c r="A14" s="48"/>
      <c r="C14" s="363" t="s">
        <v>115</v>
      </c>
      <c r="D14" s="364"/>
      <c r="E14" s="364"/>
      <c r="F14" s="364"/>
      <c r="G14" s="364"/>
      <c r="H14" s="364"/>
      <c r="I14" s="364"/>
      <c r="J14" s="364"/>
      <c r="K14" s="364"/>
      <c r="L14" s="364"/>
      <c r="M14" s="364"/>
      <c r="N14" s="364"/>
      <c r="O14" s="364"/>
      <c r="P14" s="364"/>
      <c r="Q14" s="364"/>
      <c r="R14" s="364"/>
      <c r="S14" s="364"/>
      <c r="T14" s="365"/>
    </row>
    <row r="15" spans="1:50" ht="15.75" x14ac:dyDescent="0.15">
      <c r="A15" s="48"/>
      <c r="C15" s="322"/>
      <c r="D15" s="323"/>
      <c r="E15" s="323"/>
      <c r="F15" s="323"/>
      <c r="G15" s="323"/>
      <c r="H15" s="323"/>
      <c r="I15" s="323"/>
      <c r="J15" s="323"/>
      <c r="K15" s="323"/>
      <c r="L15" s="323"/>
      <c r="M15" s="323"/>
      <c r="N15" s="323"/>
      <c r="O15" s="323"/>
      <c r="P15" s="323"/>
      <c r="Q15" s="323"/>
      <c r="R15" s="323"/>
      <c r="S15" s="323"/>
      <c r="T15" s="324"/>
    </row>
    <row r="16" spans="1:50" ht="15.75" x14ac:dyDescent="0.15">
      <c r="A16" s="48"/>
      <c r="C16" s="325"/>
      <c r="D16" s="326"/>
      <c r="E16" s="326"/>
      <c r="F16" s="326"/>
      <c r="G16" s="326"/>
      <c r="H16" s="326"/>
      <c r="I16" s="326"/>
      <c r="J16" s="326"/>
      <c r="K16" s="326"/>
      <c r="L16" s="326"/>
      <c r="M16" s="326"/>
      <c r="N16" s="326"/>
      <c r="O16" s="326"/>
      <c r="P16" s="326"/>
      <c r="Q16" s="326"/>
      <c r="R16" s="326"/>
      <c r="S16" s="326"/>
      <c r="T16" s="327"/>
    </row>
    <row r="17" spans="1:48" ht="17.45" customHeight="1" x14ac:dyDescent="0.15">
      <c r="A17" s="48"/>
      <c r="C17" s="464" t="s">
        <v>213</v>
      </c>
      <c r="D17" s="465"/>
      <c r="E17" s="336" t="s">
        <v>214</v>
      </c>
      <c r="F17" s="337"/>
      <c r="G17" s="336" t="s">
        <v>215</v>
      </c>
      <c r="H17" s="338"/>
      <c r="I17" s="337"/>
      <c r="J17" s="336" t="s">
        <v>216</v>
      </c>
      <c r="K17" s="338"/>
      <c r="L17" s="338"/>
      <c r="M17" s="338"/>
      <c r="N17" s="338"/>
      <c r="O17" s="338"/>
      <c r="P17" s="337"/>
      <c r="Q17" s="336" t="s">
        <v>217</v>
      </c>
      <c r="R17" s="338"/>
      <c r="S17" s="338"/>
      <c r="T17" s="337"/>
      <c r="AC17" s="53"/>
    </row>
    <row r="18" spans="1:48" ht="15.75" x14ac:dyDescent="0.15">
      <c r="A18" s="48"/>
      <c r="C18" s="466"/>
      <c r="D18" s="467"/>
      <c r="E18" s="349"/>
      <c r="F18" s="350"/>
      <c r="G18" s="322"/>
      <c r="H18" s="323"/>
      <c r="I18" s="323"/>
      <c r="J18" s="322"/>
      <c r="K18" s="323"/>
      <c r="L18" s="323"/>
      <c r="M18" s="323"/>
      <c r="N18" s="323"/>
      <c r="O18" s="323"/>
      <c r="P18" s="324"/>
      <c r="Q18" s="322" t="s">
        <v>489</v>
      </c>
      <c r="R18" s="323"/>
      <c r="S18" s="323"/>
      <c r="T18" s="324"/>
      <c r="AC18" s="53"/>
    </row>
    <row r="19" spans="1:48" ht="15.75" x14ac:dyDescent="0.15">
      <c r="A19" s="48"/>
      <c r="C19" s="468"/>
      <c r="D19" s="469"/>
      <c r="E19" s="351"/>
      <c r="F19" s="352"/>
      <c r="G19" s="325"/>
      <c r="H19" s="326"/>
      <c r="I19" s="326"/>
      <c r="J19" s="325"/>
      <c r="K19" s="326"/>
      <c r="L19" s="326"/>
      <c r="M19" s="326"/>
      <c r="N19" s="326"/>
      <c r="O19" s="326"/>
      <c r="P19" s="327"/>
      <c r="Q19" s="325"/>
      <c r="R19" s="326"/>
      <c r="S19" s="326"/>
      <c r="T19" s="327"/>
      <c r="AC19" s="53"/>
    </row>
    <row r="20" spans="1:48" ht="18.75" customHeight="1" x14ac:dyDescent="0.15">
      <c r="A20" s="48"/>
      <c r="C20" s="464" t="s">
        <v>23</v>
      </c>
      <c r="D20" s="465"/>
      <c r="E20" s="336" t="s">
        <v>214</v>
      </c>
      <c r="F20" s="337"/>
      <c r="G20" s="336" t="s">
        <v>215</v>
      </c>
      <c r="H20" s="338"/>
      <c r="I20" s="337"/>
      <c r="J20" s="336" t="s">
        <v>216</v>
      </c>
      <c r="K20" s="338"/>
      <c r="L20" s="338"/>
      <c r="M20" s="338"/>
      <c r="N20" s="338"/>
      <c r="O20" s="338"/>
      <c r="P20" s="337"/>
      <c r="Q20" s="336" t="s">
        <v>217</v>
      </c>
      <c r="R20" s="338"/>
      <c r="S20" s="338"/>
      <c r="T20" s="337"/>
      <c r="AC20" s="53"/>
    </row>
    <row r="21" spans="1:48" ht="15.75" x14ac:dyDescent="0.15">
      <c r="A21" s="48"/>
      <c r="C21" s="466"/>
      <c r="D21" s="467"/>
      <c r="E21" s="349"/>
      <c r="F21" s="350"/>
      <c r="G21" s="322"/>
      <c r="H21" s="323"/>
      <c r="I21" s="323"/>
      <c r="J21" s="322"/>
      <c r="K21" s="323"/>
      <c r="L21" s="323"/>
      <c r="M21" s="323"/>
      <c r="N21" s="323"/>
      <c r="O21" s="323"/>
      <c r="P21" s="324"/>
      <c r="Q21" s="322" t="s">
        <v>490</v>
      </c>
      <c r="R21" s="323"/>
      <c r="S21" s="323"/>
      <c r="T21" s="324"/>
      <c r="AC21" s="53"/>
    </row>
    <row r="22" spans="1:48" ht="15.75" x14ac:dyDescent="0.15">
      <c r="A22" s="48"/>
      <c r="C22" s="468"/>
      <c r="D22" s="469"/>
      <c r="E22" s="351"/>
      <c r="F22" s="352"/>
      <c r="G22" s="325"/>
      <c r="H22" s="326"/>
      <c r="I22" s="326"/>
      <c r="J22" s="325"/>
      <c r="K22" s="326"/>
      <c r="L22" s="326"/>
      <c r="M22" s="326"/>
      <c r="N22" s="326"/>
      <c r="O22" s="326"/>
      <c r="P22" s="327"/>
      <c r="Q22" s="325"/>
      <c r="R22" s="326"/>
      <c r="S22" s="326"/>
      <c r="T22" s="327"/>
      <c r="AC22" s="53"/>
    </row>
    <row r="23" spans="1:48" ht="15.75" x14ac:dyDescent="0.15">
      <c r="A23" s="48"/>
      <c r="C23" s="87"/>
      <c r="D23" s="88"/>
      <c r="E23" s="88"/>
      <c r="F23" s="88"/>
      <c r="G23" s="88"/>
      <c r="H23" s="88"/>
      <c r="I23" s="88"/>
      <c r="J23" s="88"/>
      <c r="K23" s="88"/>
      <c r="L23" s="88"/>
      <c r="M23" s="88"/>
    </row>
    <row r="24" spans="1:48" ht="15.75" x14ac:dyDescent="0.15">
      <c r="A24" s="48"/>
      <c r="C24" s="87"/>
      <c r="H24" s="53"/>
      <c r="I24" s="53"/>
    </row>
    <row r="25" spans="1:48" ht="15.75" x14ac:dyDescent="0.15">
      <c r="A25" s="48"/>
      <c r="C25" s="135" t="s">
        <v>33</v>
      </c>
      <c r="D25" s="136"/>
      <c r="E25" s="136"/>
      <c r="F25" s="136"/>
      <c r="G25" s="136"/>
      <c r="H25" s="136"/>
      <c r="I25" s="136"/>
      <c r="J25" s="136"/>
      <c r="K25" s="136"/>
      <c r="L25" s="136"/>
      <c r="M25" s="136"/>
      <c r="N25" s="136"/>
      <c r="O25" s="136"/>
      <c r="P25" s="136"/>
      <c r="Q25" s="136"/>
      <c r="R25" s="136"/>
      <c r="S25" s="136"/>
      <c r="T25" s="136"/>
      <c r="U25" s="116"/>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c r="AU25" s="85"/>
      <c r="AV25" s="85"/>
    </row>
    <row r="26" spans="1:48" ht="15.75" x14ac:dyDescent="0.15">
      <c r="A26" s="48"/>
      <c r="C26" s="363" t="s">
        <v>20</v>
      </c>
      <c r="D26" s="364"/>
      <c r="E26" s="364"/>
      <c r="F26" s="364"/>
      <c r="G26" s="363" t="s">
        <v>21</v>
      </c>
      <c r="H26" s="364"/>
      <c r="I26" s="364"/>
      <c r="J26" s="364"/>
      <c r="K26" s="364"/>
      <c r="L26" s="364"/>
      <c r="M26" s="364"/>
      <c r="N26" s="364"/>
      <c r="O26" s="363" t="s">
        <v>22</v>
      </c>
      <c r="P26" s="364"/>
      <c r="Q26" s="364"/>
      <c r="R26" s="364"/>
      <c r="S26" s="364"/>
      <c r="T26" s="365"/>
      <c r="U26" s="48"/>
    </row>
    <row r="27" spans="1:48" ht="15.75" x14ac:dyDescent="0.15">
      <c r="A27" s="48"/>
      <c r="C27" s="322"/>
      <c r="D27" s="323"/>
      <c r="E27" s="323"/>
      <c r="F27" s="324"/>
      <c r="G27" s="322"/>
      <c r="H27" s="323"/>
      <c r="I27" s="323"/>
      <c r="J27" s="323"/>
      <c r="K27" s="323"/>
      <c r="L27" s="323"/>
      <c r="M27" s="323"/>
      <c r="N27" s="324"/>
      <c r="O27" s="323"/>
      <c r="P27" s="323"/>
      <c r="Q27" s="323"/>
      <c r="R27" s="323"/>
      <c r="S27" s="323"/>
      <c r="T27" s="324"/>
      <c r="U27" s="48"/>
      <c r="AG27" s="53"/>
    </row>
    <row r="28" spans="1:48" ht="15.75" x14ac:dyDescent="0.15">
      <c r="A28" s="48"/>
      <c r="C28" s="325"/>
      <c r="D28" s="326"/>
      <c r="E28" s="326"/>
      <c r="F28" s="327"/>
      <c r="G28" s="325"/>
      <c r="H28" s="326"/>
      <c r="I28" s="326"/>
      <c r="J28" s="326"/>
      <c r="K28" s="326"/>
      <c r="L28" s="326"/>
      <c r="M28" s="326"/>
      <c r="N28" s="327"/>
      <c r="O28" s="326"/>
      <c r="P28" s="326"/>
      <c r="Q28" s="326"/>
      <c r="R28" s="326"/>
      <c r="S28" s="326"/>
      <c r="T28" s="327"/>
      <c r="U28" s="48"/>
      <c r="AG28" s="53"/>
    </row>
    <row r="29" spans="1:48" ht="16.5" customHeight="1" x14ac:dyDescent="0.15">
      <c r="A29" s="48"/>
      <c r="C29" s="476" t="s">
        <v>337</v>
      </c>
      <c r="D29" s="477"/>
      <c r="E29" s="477"/>
      <c r="F29" s="477"/>
      <c r="G29" s="477"/>
      <c r="H29" s="477"/>
      <c r="I29" s="477"/>
      <c r="J29" s="477"/>
      <c r="K29" s="477"/>
      <c r="L29" s="477"/>
      <c r="M29" s="477"/>
      <c r="N29" s="477"/>
      <c r="O29" s="477"/>
      <c r="P29" s="477"/>
      <c r="Q29" s="477"/>
      <c r="R29" s="477"/>
      <c r="S29" s="477"/>
      <c r="T29" s="478"/>
    </row>
    <row r="30" spans="1:48" ht="15.75" x14ac:dyDescent="0.15">
      <c r="A30" s="48"/>
      <c r="C30" s="322"/>
      <c r="D30" s="323"/>
      <c r="E30" s="323"/>
      <c r="F30" s="323"/>
      <c r="G30" s="323"/>
      <c r="H30" s="323"/>
      <c r="I30" s="323"/>
      <c r="J30" s="323"/>
      <c r="K30" s="323"/>
      <c r="L30" s="323"/>
      <c r="M30" s="323"/>
      <c r="N30" s="323"/>
      <c r="O30" s="323"/>
      <c r="P30" s="323"/>
      <c r="Q30" s="323"/>
      <c r="R30" s="323"/>
      <c r="S30" s="323"/>
      <c r="T30" s="324"/>
    </row>
    <row r="31" spans="1:48" ht="15.75" x14ac:dyDescent="0.15">
      <c r="A31" s="48"/>
      <c r="C31" s="325"/>
      <c r="D31" s="326"/>
      <c r="E31" s="326"/>
      <c r="F31" s="326"/>
      <c r="G31" s="326"/>
      <c r="H31" s="326"/>
      <c r="I31" s="326"/>
      <c r="J31" s="326"/>
      <c r="K31" s="326"/>
      <c r="L31" s="326"/>
      <c r="M31" s="326"/>
      <c r="N31" s="326"/>
      <c r="O31" s="326"/>
      <c r="P31" s="326"/>
      <c r="Q31" s="326"/>
      <c r="R31" s="326"/>
      <c r="S31" s="326"/>
      <c r="T31" s="327"/>
    </row>
    <row r="32" spans="1:48" ht="17.45" customHeight="1" x14ac:dyDescent="0.15">
      <c r="A32" s="48"/>
      <c r="C32" s="464" t="s">
        <v>120</v>
      </c>
      <c r="D32" s="465"/>
      <c r="E32" s="328" t="s">
        <v>214</v>
      </c>
      <c r="F32" s="328"/>
      <c r="G32" s="328" t="s">
        <v>215</v>
      </c>
      <c r="H32" s="328"/>
      <c r="I32" s="328"/>
      <c r="J32" s="328" t="s">
        <v>216</v>
      </c>
      <c r="K32" s="328"/>
      <c r="L32" s="328"/>
      <c r="M32" s="328"/>
      <c r="N32" s="328"/>
      <c r="O32" s="328"/>
      <c r="P32" s="328"/>
      <c r="Q32" s="328" t="s">
        <v>217</v>
      </c>
      <c r="R32" s="328"/>
      <c r="S32" s="328"/>
      <c r="T32" s="328"/>
      <c r="AC32" s="53"/>
    </row>
    <row r="33" spans="1:57" ht="15.75" x14ac:dyDescent="0.15">
      <c r="A33" s="48"/>
      <c r="C33" s="466"/>
      <c r="D33" s="467"/>
      <c r="E33" s="329"/>
      <c r="F33" s="329"/>
      <c r="G33" s="330"/>
      <c r="H33" s="330"/>
      <c r="I33" s="330"/>
      <c r="J33" s="330"/>
      <c r="K33" s="330"/>
      <c r="L33" s="330"/>
      <c r="M33" s="330"/>
      <c r="N33" s="330"/>
      <c r="O33" s="330"/>
      <c r="P33" s="330"/>
      <c r="Q33" s="330" t="s">
        <v>488</v>
      </c>
      <c r="R33" s="330"/>
      <c r="S33" s="330"/>
      <c r="T33" s="330"/>
      <c r="AC33" s="53"/>
      <c r="AW33" s="23" t="str">
        <f>IF(AQ18='本人旅行経路（情報連携シート）'!C9,"☆","-")</f>
        <v>☆</v>
      </c>
    </row>
    <row r="34" spans="1:57" ht="15.75" x14ac:dyDescent="0.15">
      <c r="A34" s="48"/>
      <c r="C34" s="468"/>
      <c r="D34" s="469"/>
      <c r="E34" s="329"/>
      <c r="F34" s="329"/>
      <c r="G34" s="330"/>
      <c r="H34" s="330"/>
      <c r="I34" s="330"/>
      <c r="J34" s="330"/>
      <c r="K34" s="330"/>
      <c r="L34" s="330"/>
      <c r="M34" s="330"/>
      <c r="N34" s="330"/>
      <c r="O34" s="330"/>
      <c r="P34" s="330"/>
      <c r="Q34" s="330"/>
      <c r="R34" s="330"/>
      <c r="S34" s="330"/>
      <c r="T34" s="330"/>
      <c r="AC34" s="53"/>
    </row>
    <row r="35" spans="1:57" ht="17.45" customHeight="1" x14ac:dyDescent="0.15">
      <c r="A35" s="48"/>
      <c r="C35" s="458" t="s">
        <v>114</v>
      </c>
      <c r="D35" s="459"/>
      <c r="E35" s="328" t="s">
        <v>214</v>
      </c>
      <c r="F35" s="328"/>
      <c r="G35" s="328" t="s">
        <v>215</v>
      </c>
      <c r="H35" s="328"/>
      <c r="I35" s="328"/>
      <c r="J35" s="328" t="s">
        <v>216</v>
      </c>
      <c r="K35" s="328"/>
      <c r="L35" s="328"/>
      <c r="M35" s="328"/>
      <c r="N35" s="328"/>
      <c r="O35" s="328"/>
      <c r="P35" s="328"/>
      <c r="Q35" s="328" t="s">
        <v>217</v>
      </c>
      <c r="R35" s="328"/>
      <c r="S35" s="328"/>
      <c r="T35" s="328"/>
      <c r="U35" s="48"/>
      <c r="AC35" s="53"/>
    </row>
    <row r="36" spans="1:57" ht="15.75" x14ac:dyDescent="0.15">
      <c r="A36" s="48"/>
      <c r="C36" s="460"/>
      <c r="D36" s="461"/>
      <c r="E36" s="329"/>
      <c r="F36" s="329"/>
      <c r="G36" s="330"/>
      <c r="H36" s="330"/>
      <c r="I36" s="330"/>
      <c r="J36" s="330"/>
      <c r="K36" s="330"/>
      <c r="L36" s="330"/>
      <c r="M36" s="330"/>
      <c r="N36" s="330"/>
      <c r="O36" s="330"/>
      <c r="P36" s="330"/>
      <c r="Q36" s="330" t="s">
        <v>491</v>
      </c>
      <c r="R36" s="330"/>
      <c r="S36" s="330"/>
      <c r="T36" s="330"/>
      <c r="U36" s="48"/>
      <c r="AC36" s="53"/>
      <c r="AW36" s="23" t="str">
        <f>IF(AQ36='本人旅行経路（情報連携シート）'!C9,"☆","-")</f>
        <v>☆</v>
      </c>
    </row>
    <row r="37" spans="1:57" ht="15.75" x14ac:dyDescent="0.15">
      <c r="A37" s="48"/>
      <c r="C37" s="462"/>
      <c r="D37" s="463"/>
      <c r="E37" s="329"/>
      <c r="F37" s="329"/>
      <c r="G37" s="330"/>
      <c r="H37" s="330"/>
      <c r="I37" s="330"/>
      <c r="J37" s="330"/>
      <c r="K37" s="330"/>
      <c r="L37" s="330"/>
      <c r="M37" s="330"/>
      <c r="N37" s="330"/>
      <c r="O37" s="330"/>
      <c r="P37" s="330"/>
      <c r="Q37" s="330"/>
      <c r="R37" s="330"/>
      <c r="S37" s="330"/>
      <c r="T37" s="330"/>
      <c r="U37" s="48"/>
      <c r="AC37" s="53"/>
    </row>
    <row r="38" spans="1:57" ht="15.75" x14ac:dyDescent="0.15">
      <c r="A38" s="48"/>
    </row>
    <row r="39" spans="1:57" ht="15.75" x14ac:dyDescent="0.15">
      <c r="A39" s="48"/>
      <c r="C39" s="333" t="s">
        <v>271</v>
      </c>
      <c r="D39" s="334"/>
      <c r="E39" s="334"/>
      <c r="F39" s="334"/>
      <c r="G39" s="334"/>
      <c r="H39" s="334"/>
      <c r="I39" s="334"/>
      <c r="J39" s="334"/>
      <c r="K39" s="334"/>
      <c r="L39" s="334"/>
      <c r="M39" s="334"/>
      <c r="N39" s="335"/>
      <c r="O39" s="116"/>
      <c r="P39" s="85"/>
      <c r="Q39" s="85"/>
      <c r="R39" s="85"/>
      <c r="S39" s="85"/>
      <c r="T39" s="85"/>
      <c r="U39" s="85"/>
      <c r="V39" s="85"/>
      <c r="W39" s="85"/>
      <c r="X39" s="85"/>
      <c r="Y39" s="85"/>
      <c r="Z39" s="85"/>
      <c r="AA39" s="85"/>
      <c r="AB39" s="85"/>
      <c r="AC39" s="85"/>
      <c r="AD39" s="85"/>
      <c r="AE39" s="85"/>
      <c r="AF39" s="85"/>
      <c r="AG39" s="85"/>
      <c r="AH39" s="85"/>
      <c r="AI39" s="85"/>
      <c r="AJ39" s="85"/>
      <c r="AK39" s="85"/>
      <c r="AL39" s="85"/>
      <c r="AM39" s="102"/>
      <c r="AN39" s="85"/>
      <c r="AO39" s="85"/>
      <c r="AP39" s="85"/>
      <c r="AQ39" s="85"/>
      <c r="AR39" s="85"/>
      <c r="AS39" s="85"/>
      <c r="AT39" s="85"/>
      <c r="AU39" s="85"/>
      <c r="AV39" s="85"/>
    </row>
    <row r="40" spans="1:57" ht="15.75" customHeight="1" x14ac:dyDescent="0.15">
      <c r="A40" s="48"/>
      <c r="C40" s="479" t="s">
        <v>272</v>
      </c>
      <c r="D40" s="480"/>
      <c r="E40" s="481"/>
      <c r="F40" s="485"/>
      <c r="G40" s="486"/>
      <c r="H40" s="487"/>
      <c r="I40" s="491" t="s">
        <v>273</v>
      </c>
      <c r="J40" s="492"/>
      <c r="K40" s="493"/>
      <c r="L40" s="331"/>
      <c r="M40" s="332"/>
      <c r="N40" s="332"/>
      <c r="O40" s="284"/>
      <c r="P40" s="150"/>
      <c r="Q40" s="150"/>
      <c r="R40" s="150"/>
      <c r="S40" s="285"/>
      <c r="T40" s="88"/>
      <c r="U40" s="88"/>
      <c r="V40" s="88"/>
      <c r="W40" s="88"/>
      <c r="X40" s="88"/>
      <c r="Y40" s="88"/>
      <c r="Z40" s="88"/>
      <c r="AA40" s="88"/>
      <c r="AB40" s="88"/>
      <c r="AC40" s="271"/>
      <c r="AD40" s="150"/>
      <c r="AE40" s="150"/>
      <c r="AF40" s="150"/>
      <c r="AG40" s="150"/>
      <c r="AH40" s="150"/>
      <c r="AI40" s="150"/>
      <c r="AJ40" s="150"/>
      <c r="AK40" s="150"/>
      <c r="AL40" s="150"/>
      <c r="AM40" s="285"/>
      <c r="AN40" s="150"/>
      <c r="AO40" s="150"/>
      <c r="AP40" s="150"/>
      <c r="AQ40" s="150"/>
      <c r="AR40" s="150"/>
      <c r="AS40" s="150"/>
      <c r="AT40" s="150"/>
      <c r="AU40" s="150"/>
      <c r="AV40" s="150"/>
    </row>
    <row r="41" spans="1:57" ht="15.75" customHeight="1" x14ac:dyDescent="0.15">
      <c r="A41" s="48"/>
      <c r="C41" s="482"/>
      <c r="D41" s="483"/>
      <c r="E41" s="484"/>
      <c r="F41" s="488"/>
      <c r="G41" s="489"/>
      <c r="H41" s="490"/>
      <c r="I41" s="491" t="s">
        <v>274</v>
      </c>
      <c r="J41" s="492"/>
      <c r="K41" s="493"/>
      <c r="L41" s="331"/>
      <c r="M41" s="332"/>
      <c r="N41" s="332"/>
      <c r="O41" s="284"/>
      <c r="P41" s="150"/>
      <c r="Q41" s="150"/>
      <c r="R41" s="150"/>
      <c r="S41" s="285"/>
      <c r="T41" s="88"/>
      <c r="U41" s="88"/>
      <c r="V41" s="88"/>
      <c r="W41" s="88"/>
      <c r="X41" s="88"/>
      <c r="Y41" s="88"/>
      <c r="Z41" s="88"/>
      <c r="AA41" s="88"/>
      <c r="AB41" s="88"/>
      <c r="AC41" s="271"/>
      <c r="AD41" s="150"/>
      <c r="AE41" s="150"/>
      <c r="AF41" s="150"/>
      <c r="AG41" s="150"/>
      <c r="AH41" s="150"/>
      <c r="AI41" s="150"/>
      <c r="AJ41" s="150"/>
      <c r="AK41" s="150"/>
      <c r="AL41" s="150"/>
      <c r="AM41" s="285"/>
      <c r="AN41" s="150"/>
      <c r="AO41" s="150"/>
      <c r="AP41" s="150"/>
      <c r="AQ41" s="150"/>
      <c r="AR41" s="150"/>
      <c r="AS41" s="150"/>
      <c r="AT41" s="150"/>
      <c r="AU41" s="150"/>
      <c r="AV41" s="150"/>
    </row>
    <row r="42" spans="1:57" ht="15.75" x14ac:dyDescent="0.15">
      <c r="A42" s="48"/>
      <c r="C42" s="83" t="s">
        <v>310</v>
      </c>
    </row>
    <row r="43" spans="1:57" ht="15.75" x14ac:dyDescent="0.15">
      <c r="A43" s="48"/>
    </row>
    <row r="44" spans="1:57" ht="15.75" x14ac:dyDescent="0.15">
      <c r="A44" s="48"/>
      <c r="C44" s="135" t="s">
        <v>24</v>
      </c>
      <c r="D44" s="136"/>
      <c r="E44" s="136"/>
      <c r="F44" s="136"/>
      <c r="G44" s="136"/>
      <c r="H44" s="136"/>
      <c r="I44" s="136"/>
      <c r="J44" s="136"/>
      <c r="K44" s="136"/>
      <c r="L44" s="136"/>
      <c r="M44" s="136"/>
      <c r="N44" s="136"/>
      <c r="O44" s="136"/>
      <c r="P44" s="136"/>
      <c r="Q44" s="136"/>
      <c r="R44" s="136"/>
      <c r="S44" s="136"/>
      <c r="T44" s="136"/>
      <c r="U44" s="136"/>
      <c r="V44" s="136"/>
      <c r="W44" s="136"/>
      <c r="X44" s="116"/>
      <c r="Y44" s="85"/>
      <c r="Z44" s="85"/>
      <c r="AA44" s="85"/>
      <c r="AB44" s="85"/>
      <c r="AC44" s="85"/>
      <c r="AD44" s="85"/>
      <c r="AE44" s="85"/>
      <c r="AF44" s="85"/>
      <c r="AG44" s="85"/>
      <c r="AH44" s="85"/>
      <c r="AI44" s="85"/>
      <c r="AJ44" s="85"/>
      <c r="AK44" s="85"/>
      <c r="AL44" s="85"/>
      <c r="AM44" s="85"/>
      <c r="AN44" s="85"/>
      <c r="AO44" s="85"/>
      <c r="AP44" s="85"/>
      <c r="AQ44" s="85"/>
      <c r="AR44" s="85"/>
      <c r="AS44" s="85"/>
      <c r="AT44" s="85"/>
      <c r="AU44" s="85"/>
      <c r="AV44" s="85"/>
    </row>
    <row r="45" spans="1:57" ht="15.75" x14ac:dyDescent="0.15">
      <c r="A45" s="48"/>
      <c r="C45" s="267" t="s">
        <v>121</v>
      </c>
      <c r="D45" s="268"/>
      <c r="E45" s="268"/>
      <c r="F45" s="268"/>
      <c r="G45" s="268"/>
      <c r="H45" s="268"/>
      <c r="I45" s="268"/>
      <c r="J45" s="268"/>
      <c r="K45" s="268"/>
      <c r="L45" s="268"/>
      <c r="M45" s="268"/>
      <c r="N45" s="268"/>
      <c r="O45" s="268"/>
      <c r="P45" s="268"/>
      <c r="Q45" s="268"/>
      <c r="R45" s="268"/>
      <c r="S45" s="268"/>
      <c r="T45" s="268"/>
      <c r="U45" s="268"/>
      <c r="V45" s="268"/>
      <c r="W45" s="268"/>
      <c r="X45" s="48"/>
    </row>
    <row r="46" spans="1:57" ht="15.75" x14ac:dyDescent="0.15">
      <c r="A46" s="48"/>
      <c r="C46" s="269"/>
      <c r="D46" s="270"/>
      <c r="E46" s="270"/>
      <c r="F46" s="270"/>
      <c r="G46" s="270"/>
      <c r="H46" s="270"/>
      <c r="I46" s="270"/>
      <c r="J46" s="270"/>
      <c r="K46" s="270"/>
      <c r="L46" s="270"/>
      <c r="M46" s="270"/>
      <c r="N46" s="270"/>
      <c r="O46" s="270"/>
      <c r="P46" s="270"/>
      <c r="Q46" s="270"/>
      <c r="R46" s="270"/>
      <c r="S46" s="270"/>
      <c r="T46" s="270"/>
      <c r="U46" s="270"/>
      <c r="V46" s="270"/>
      <c r="W46" s="270"/>
      <c r="X46" s="48"/>
    </row>
    <row r="47" spans="1:57" ht="15.75" x14ac:dyDescent="0.15">
      <c r="A47" s="48"/>
    </row>
    <row r="48" spans="1:57" ht="15.75" x14ac:dyDescent="0.15">
      <c r="A48" s="48"/>
      <c r="C48" s="110" t="s">
        <v>295</v>
      </c>
      <c r="D48" s="55"/>
      <c r="E48" s="55"/>
      <c r="F48" s="55"/>
      <c r="G48" s="55"/>
      <c r="H48" s="55"/>
      <c r="I48" s="55"/>
      <c r="J48" s="55"/>
      <c r="K48" s="55"/>
      <c r="L48" s="55"/>
      <c r="M48" s="55"/>
      <c r="N48" s="55"/>
      <c r="O48" s="55"/>
      <c r="P48" s="55"/>
      <c r="Q48" s="55"/>
      <c r="R48" s="55"/>
      <c r="S48" s="55"/>
      <c r="T48" s="55"/>
      <c r="U48" s="55"/>
      <c r="V48" s="55"/>
      <c r="W48" s="111"/>
      <c r="X48" s="116"/>
      <c r="Y48" s="85"/>
      <c r="Z48" s="85"/>
      <c r="AA48" s="85"/>
      <c r="AB48" s="85"/>
      <c r="AC48" s="85"/>
      <c r="AD48" s="85"/>
      <c r="AE48" s="85"/>
      <c r="AF48" s="85"/>
      <c r="AG48" s="85"/>
      <c r="AH48" s="85"/>
      <c r="AI48" s="85"/>
      <c r="AJ48" s="85"/>
      <c r="AK48" s="85"/>
      <c r="AL48" s="85"/>
      <c r="AM48" s="85"/>
      <c r="AN48" s="85"/>
      <c r="AO48" s="85"/>
      <c r="AP48" s="85"/>
      <c r="AQ48" s="85"/>
      <c r="AR48" s="85"/>
      <c r="AS48" s="85"/>
      <c r="AT48" s="85"/>
      <c r="AU48" s="85"/>
      <c r="AV48" s="85"/>
      <c r="AW48" s="85"/>
      <c r="AX48" s="85"/>
      <c r="AY48" s="85"/>
      <c r="AZ48" s="103"/>
      <c r="BA48" s="103"/>
      <c r="BB48" s="103"/>
      <c r="BC48" s="103"/>
      <c r="BD48" s="103"/>
      <c r="BE48" s="103"/>
    </row>
    <row r="49" spans="1:67" ht="15.75" x14ac:dyDescent="0.15">
      <c r="A49" s="48"/>
      <c r="C49" s="48" t="s">
        <v>318</v>
      </c>
      <c r="D49" s="85"/>
      <c r="E49" s="85"/>
      <c r="F49" s="85"/>
      <c r="G49" s="85"/>
      <c r="H49" s="85"/>
      <c r="I49" s="85"/>
      <c r="J49" s="85"/>
      <c r="K49" s="85"/>
      <c r="L49" s="85"/>
      <c r="M49" s="85"/>
      <c r="N49" s="85"/>
      <c r="O49" s="85"/>
      <c r="P49" s="85"/>
      <c r="Q49" s="85"/>
      <c r="R49" s="85"/>
      <c r="S49" s="85"/>
      <c r="T49" s="85"/>
      <c r="U49" s="85"/>
      <c r="V49" s="85"/>
      <c r="W49" s="85"/>
      <c r="X49" s="116"/>
      <c r="Y49" s="85"/>
      <c r="Z49" s="85"/>
      <c r="AA49" s="85"/>
      <c r="AB49" s="85"/>
      <c r="AC49" s="85"/>
      <c r="AD49" s="85"/>
      <c r="AE49" s="85"/>
      <c r="AF49" s="85"/>
      <c r="AG49" s="85"/>
      <c r="AH49" s="85"/>
      <c r="AI49" s="85"/>
      <c r="AJ49" s="85"/>
      <c r="AK49" s="85"/>
      <c r="AL49" s="85"/>
      <c r="AM49" s="85"/>
      <c r="AN49" s="85"/>
      <c r="AO49" s="85"/>
      <c r="AP49" s="85"/>
      <c r="AQ49" s="85"/>
      <c r="AR49" s="85"/>
      <c r="AS49" s="85"/>
      <c r="AT49" s="85"/>
      <c r="AU49" s="85"/>
      <c r="AV49" s="85"/>
      <c r="AW49" s="85"/>
      <c r="AX49" s="85"/>
      <c r="AY49" s="85"/>
      <c r="AZ49" s="53"/>
      <c r="BA49" s="53"/>
      <c r="BB49" s="53"/>
    </row>
    <row r="50" spans="1:67" ht="15.75" x14ac:dyDescent="0.15">
      <c r="A50" s="48"/>
      <c r="C50" s="48" t="s">
        <v>319</v>
      </c>
      <c r="D50" s="85"/>
      <c r="E50" s="85"/>
      <c r="F50" s="85"/>
      <c r="G50" s="85"/>
      <c r="H50" s="85"/>
      <c r="I50" s="85"/>
      <c r="J50" s="85"/>
      <c r="K50" s="85"/>
      <c r="L50" s="85"/>
      <c r="M50" s="85"/>
      <c r="N50" s="85"/>
      <c r="O50" s="85"/>
      <c r="P50" s="85"/>
      <c r="Q50" s="85"/>
      <c r="R50" s="85"/>
      <c r="S50" s="85"/>
      <c r="T50" s="85"/>
      <c r="U50" s="85"/>
      <c r="V50" s="85"/>
      <c r="W50" s="85"/>
      <c r="X50" s="116"/>
      <c r="Y50" s="85"/>
      <c r="Z50" s="85"/>
      <c r="AA50" s="85"/>
      <c r="AB50" s="85"/>
      <c r="AC50" s="85"/>
      <c r="AD50" s="85"/>
      <c r="AE50" s="85"/>
      <c r="AF50" s="85"/>
      <c r="AG50" s="85"/>
      <c r="AH50" s="85"/>
      <c r="AI50" s="85"/>
      <c r="AJ50" s="85"/>
      <c r="AK50" s="85"/>
      <c r="AL50" s="85"/>
      <c r="AM50" s="85"/>
      <c r="AN50" s="85"/>
      <c r="AO50" s="85"/>
      <c r="AP50" s="85"/>
      <c r="AQ50" s="85"/>
      <c r="AR50" s="85"/>
      <c r="AS50" s="85"/>
      <c r="AT50" s="85"/>
      <c r="AU50" s="85"/>
      <c r="AV50" s="85"/>
      <c r="AW50" s="85"/>
      <c r="AX50" s="85"/>
      <c r="AY50" s="85"/>
    </row>
    <row r="51" spans="1:67" ht="15.75" x14ac:dyDescent="0.15">
      <c r="A51" s="48"/>
      <c r="C51" s="49" t="s">
        <v>328</v>
      </c>
      <c r="D51" s="108"/>
      <c r="E51" s="108"/>
      <c r="F51" s="108"/>
      <c r="G51" s="108"/>
      <c r="H51" s="108"/>
      <c r="I51" s="108"/>
      <c r="J51" s="108"/>
      <c r="K51" s="108"/>
      <c r="L51" s="108"/>
      <c r="M51" s="108"/>
      <c r="N51" s="108"/>
      <c r="O51" s="108"/>
      <c r="P51" s="108"/>
      <c r="Q51" s="108"/>
      <c r="R51" s="108"/>
      <c r="S51" s="108"/>
      <c r="T51" s="108"/>
      <c r="U51" s="108"/>
      <c r="V51" s="108"/>
      <c r="W51" s="108"/>
      <c r="X51" s="116"/>
      <c r="Y51" s="85"/>
      <c r="Z51" s="85"/>
      <c r="AA51" s="85"/>
      <c r="AB51" s="85"/>
      <c r="AC51" s="85"/>
      <c r="AD51" s="85"/>
      <c r="AE51" s="85"/>
      <c r="AF51" s="85"/>
      <c r="AG51" s="85"/>
      <c r="AH51" s="85"/>
      <c r="AI51" s="85"/>
      <c r="AJ51" s="85"/>
      <c r="AK51" s="85"/>
      <c r="AL51" s="85"/>
      <c r="AM51" s="85"/>
      <c r="AN51" s="85"/>
      <c r="AO51" s="85"/>
      <c r="AP51" s="85"/>
      <c r="AQ51" s="85"/>
      <c r="AR51" s="85"/>
      <c r="AS51" s="85"/>
      <c r="AT51" s="85"/>
      <c r="AU51" s="85"/>
      <c r="AV51" s="85"/>
      <c r="AW51" s="85"/>
      <c r="AX51" s="85"/>
      <c r="AY51" s="85"/>
    </row>
    <row r="52" spans="1:67" ht="15.75" x14ac:dyDescent="0.15">
      <c r="A52" s="48"/>
      <c r="C52" s="112"/>
      <c r="D52" s="339" t="s">
        <v>296</v>
      </c>
      <c r="E52" s="340"/>
      <c r="F52" s="340"/>
      <c r="G52" s="340"/>
      <c r="H52" s="344" t="s">
        <v>109</v>
      </c>
      <c r="I52" s="345"/>
      <c r="J52" s="345"/>
      <c r="K52" s="344" t="s">
        <v>110</v>
      </c>
      <c r="L52" s="345"/>
      <c r="M52" s="353"/>
      <c r="N52" s="344" t="s">
        <v>111</v>
      </c>
      <c r="O52" s="345"/>
      <c r="P52" s="345"/>
      <c r="Q52" s="345"/>
      <c r="R52" s="345"/>
      <c r="S52" s="345"/>
      <c r="T52" s="345"/>
      <c r="U52" s="345"/>
      <c r="V52" s="345"/>
      <c r="W52" s="345"/>
      <c r="X52" s="122"/>
      <c r="Y52" s="279"/>
      <c r="Z52" s="279"/>
      <c r="AA52" s="279"/>
      <c r="AB52" s="279"/>
      <c r="AC52" s="266"/>
      <c r="AD52" s="279"/>
      <c r="AE52" s="279"/>
      <c r="AF52" s="279"/>
      <c r="AG52" s="279"/>
      <c r="AH52" s="279"/>
      <c r="AI52" s="279"/>
      <c r="AJ52" s="279"/>
      <c r="AK52" s="279"/>
      <c r="AL52" s="279"/>
      <c r="AM52" s="279"/>
      <c r="AN52" s="279"/>
      <c r="AO52" s="279"/>
      <c r="AP52" s="279"/>
      <c r="AQ52" s="279"/>
      <c r="AR52" s="279"/>
      <c r="AS52" s="279"/>
      <c r="AT52" s="279"/>
      <c r="AU52" s="279"/>
      <c r="AV52" s="279"/>
      <c r="AW52" s="279"/>
      <c r="AX52" s="279"/>
      <c r="AY52" s="279"/>
    </row>
    <row r="53" spans="1:67" ht="15.75" x14ac:dyDescent="0.15">
      <c r="A53" s="48"/>
      <c r="C53" s="50">
        <v>1</v>
      </c>
      <c r="D53" s="341"/>
      <c r="E53" s="342"/>
      <c r="F53" s="342"/>
      <c r="G53" s="343"/>
      <c r="H53" s="346"/>
      <c r="I53" s="347"/>
      <c r="J53" s="348"/>
      <c r="K53" s="346"/>
      <c r="L53" s="347"/>
      <c r="M53" s="348"/>
      <c r="N53" s="309"/>
      <c r="O53" s="310"/>
      <c r="P53" s="310"/>
      <c r="Q53" s="310"/>
      <c r="R53" s="310"/>
      <c r="S53" s="310"/>
      <c r="T53" s="310"/>
      <c r="U53" s="310"/>
      <c r="V53" s="310"/>
      <c r="W53" s="310"/>
      <c r="X53" s="116"/>
      <c r="Y53" s="85"/>
      <c r="Z53" s="85"/>
      <c r="AA53" s="85"/>
      <c r="AB53" s="85"/>
      <c r="AC53" s="272"/>
      <c r="AP53" s="85"/>
      <c r="AQ53" s="85"/>
      <c r="AR53" s="85"/>
      <c r="AS53" s="85"/>
    </row>
    <row r="54" spans="1:67" ht="15.75" x14ac:dyDescent="0.15">
      <c r="A54" s="48"/>
      <c r="C54" s="50">
        <v>2</v>
      </c>
      <c r="D54" s="341"/>
      <c r="E54" s="342"/>
      <c r="F54" s="342"/>
      <c r="G54" s="343"/>
      <c r="H54" s="346"/>
      <c r="I54" s="347"/>
      <c r="J54" s="348"/>
      <c r="K54" s="346"/>
      <c r="L54" s="347"/>
      <c r="M54" s="348"/>
      <c r="N54" s="309"/>
      <c r="O54" s="310"/>
      <c r="P54" s="310"/>
      <c r="Q54" s="310"/>
      <c r="R54" s="310"/>
      <c r="S54" s="310"/>
      <c r="T54" s="310"/>
      <c r="U54" s="310"/>
      <c r="V54" s="310"/>
      <c r="W54" s="310"/>
      <c r="X54" s="116"/>
      <c r="Y54" s="85"/>
      <c r="Z54" s="85"/>
      <c r="AA54" s="85"/>
      <c r="AB54" s="85"/>
      <c r="AC54" s="272"/>
      <c r="AP54" s="85"/>
      <c r="AQ54" s="85"/>
      <c r="AR54" s="85"/>
      <c r="AS54" s="85"/>
    </row>
    <row r="55" spans="1:67" ht="15.75" x14ac:dyDescent="0.15">
      <c r="A55" s="48"/>
      <c r="C55" s="50">
        <v>3</v>
      </c>
      <c r="D55" s="341"/>
      <c r="E55" s="342"/>
      <c r="F55" s="342"/>
      <c r="G55" s="343"/>
      <c r="H55" s="346"/>
      <c r="I55" s="347"/>
      <c r="J55" s="348"/>
      <c r="K55" s="346"/>
      <c r="L55" s="347"/>
      <c r="M55" s="348"/>
      <c r="N55" s="309"/>
      <c r="O55" s="310"/>
      <c r="P55" s="310"/>
      <c r="Q55" s="310"/>
      <c r="R55" s="310"/>
      <c r="S55" s="310"/>
      <c r="T55" s="310"/>
      <c r="U55" s="310"/>
      <c r="V55" s="310"/>
      <c r="W55" s="310"/>
      <c r="X55" s="116"/>
      <c r="Y55" s="85"/>
      <c r="Z55" s="85"/>
      <c r="AA55" s="85"/>
      <c r="AB55" s="85"/>
      <c r="AC55" s="272"/>
      <c r="AP55" s="85"/>
      <c r="AQ55" s="85"/>
      <c r="AR55" s="85"/>
      <c r="AS55" s="85"/>
    </row>
    <row r="56" spans="1:67" ht="15.75" x14ac:dyDescent="0.15">
      <c r="A56" s="48"/>
      <c r="C56" s="50">
        <v>4</v>
      </c>
      <c r="D56" s="341"/>
      <c r="E56" s="342"/>
      <c r="F56" s="342"/>
      <c r="G56" s="343"/>
      <c r="H56" s="346"/>
      <c r="I56" s="347"/>
      <c r="J56" s="348"/>
      <c r="K56" s="346"/>
      <c r="L56" s="347"/>
      <c r="M56" s="348"/>
      <c r="N56" s="309"/>
      <c r="O56" s="310"/>
      <c r="P56" s="310"/>
      <c r="Q56" s="310"/>
      <c r="R56" s="310"/>
      <c r="S56" s="310"/>
      <c r="T56" s="310"/>
      <c r="U56" s="310"/>
      <c r="V56" s="310"/>
      <c r="W56" s="310"/>
      <c r="X56" s="116"/>
      <c r="Y56" s="85"/>
      <c r="Z56" s="85"/>
      <c r="AA56" s="85"/>
      <c r="AB56" s="85"/>
      <c r="AC56" s="272"/>
      <c r="AP56" s="85"/>
      <c r="AQ56" s="85"/>
      <c r="AR56" s="85"/>
      <c r="AS56" s="85"/>
    </row>
    <row r="57" spans="1:67" ht="15.75" x14ac:dyDescent="0.15">
      <c r="A57" s="48"/>
      <c r="C57" s="50">
        <v>5</v>
      </c>
      <c r="D57" s="341"/>
      <c r="E57" s="342"/>
      <c r="F57" s="342"/>
      <c r="G57" s="343"/>
      <c r="H57" s="346"/>
      <c r="I57" s="347"/>
      <c r="J57" s="348"/>
      <c r="K57" s="346"/>
      <c r="L57" s="347"/>
      <c r="M57" s="348"/>
      <c r="N57" s="309"/>
      <c r="O57" s="310"/>
      <c r="P57" s="310"/>
      <c r="Q57" s="310"/>
      <c r="R57" s="310"/>
      <c r="S57" s="310"/>
      <c r="T57" s="310"/>
      <c r="U57" s="310"/>
      <c r="V57" s="310"/>
      <c r="W57" s="310"/>
      <c r="X57" s="116"/>
      <c r="Y57" s="85"/>
      <c r="Z57" s="85"/>
      <c r="AA57" s="85"/>
      <c r="AB57" s="85"/>
      <c r="AC57" s="272"/>
      <c r="AP57" s="85"/>
      <c r="AQ57" s="85"/>
      <c r="AR57" s="85"/>
      <c r="AS57" s="85"/>
    </row>
    <row r="58" spans="1:67" ht="15.75" x14ac:dyDescent="0.15">
      <c r="A58" s="48"/>
      <c r="C58" s="83"/>
      <c r="D58" s="273"/>
      <c r="E58" s="273"/>
      <c r="F58" s="273"/>
      <c r="G58" s="273"/>
      <c r="H58" s="273"/>
      <c r="I58" s="273"/>
      <c r="J58" s="273"/>
      <c r="K58" s="273"/>
      <c r="L58" s="273"/>
      <c r="M58" s="273"/>
      <c r="N58" s="273"/>
      <c r="O58" s="273"/>
      <c r="P58" s="273"/>
      <c r="Q58" s="273"/>
      <c r="R58" s="273"/>
      <c r="S58" s="273"/>
      <c r="T58" s="273"/>
      <c r="U58" s="273"/>
      <c r="V58" s="273"/>
      <c r="W58" s="273"/>
      <c r="X58" s="273"/>
      <c r="Y58" s="273"/>
      <c r="Z58" s="273"/>
      <c r="AA58" s="273"/>
      <c r="AB58" s="273"/>
      <c r="AC58" s="273"/>
      <c r="AD58" s="273"/>
      <c r="AE58" s="273"/>
      <c r="AF58" s="273"/>
      <c r="AG58" s="273"/>
      <c r="AH58" s="273"/>
      <c r="AI58" s="273"/>
      <c r="AJ58" s="52"/>
      <c r="AK58" s="52"/>
      <c r="AL58" s="52"/>
      <c r="AM58" s="52"/>
      <c r="AN58" s="52"/>
      <c r="AO58" s="53"/>
      <c r="AP58" s="53"/>
      <c r="AQ58" s="53"/>
      <c r="AR58" s="53"/>
      <c r="AS58" s="53"/>
      <c r="AT58" s="53"/>
      <c r="AU58" s="53"/>
      <c r="AV58" s="53"/>
    </row>
    <row r="59" spans="1:67" ht="15.75" x14ac:dyDescent="0.15">
      <c r="A59" s="48"/>
      <c r="C59" s="127" t="s">
        <v>333</v>
      </c>
      <c r="D59" s="113"/>
      <c r="E59" s="113"/>
      <c r="F59" s="113"/>
      <c r="G59" s="113"/>
      <c r="H59" s="113"/>
      <c r="I59" s="113"/>
      <c r="J59" s="113"/>
      <c r="K59" s="113"/>
      <c r="L59" s="55"/>
      <c r="M59" s="55"/>
      <c r="N59" s="55"/>
      <c r="O59" s="55"/>
      <c r="P59" s="55"/>
      <c r="Q59" s="55"/>
      <c r="R59" s="55"/>
      <c r="S59" s="55"/>
      <c r="T59" s="113"/>
      <c r="U59" s="252"/>
      <c r="V59" s="272"/>
      <c r="W59" s="272"/>
      <c r="X59" s="272"/>
      <c r="Y59" s="272"/>
      <c r="Z59" s="272"/>
      <c r="AA59" s="272"/>
      <c r="AB59" s="272"/>
      <c r="AC59" s="272"/>
      <c r="AD59" s="272"/>
      <c r="AE59" s="272"/>
      <c r="AF59" s="272"/>
      <c r="AG59" s="272"/>
      <c r="AH59" s="272"/>
      <c r="AI59" s="272"/>
      <c r="AJ59" s="272"/>
      <c r="AK59" s="272"/>
      <c r="AL59" s="272"/>
      <c r="AM59" s="272"/>
      <c r="AN59" s="272"/>
      <c r="AO59" s="51"/>
      <c r="AP59" s="151"/>
      <c r="AQ59" s="151"/>
      <c r="AR59" s="151"/>
      <c r="AS59" s="151"/>
      <c r="AT59" s="151"/>
      <c r="AU59" s="151"/>
      <c r="AV59" s="151"/>
      <c r="AW59" s="151"/>
      <c r="AX59" s="151"/>
      <c r="AY59" s="151"/>
    </row>
    <row r="60" spans="1:67" ht="15.75" x14ac:dyDescent="0.15">
      <c r="A60" s="48"/>
      <c r="C60" s="117" t="s">
        <v>332</v>
      </c>
      <c r="D60" s="244"/>
      <c r="E60" s="244"/>
      <c r="F60" s="244"/>
      <c r="G60" s="244"/>
      <c r="H60" s="244"/>
      <c r="I60" s="244"/>
      <c r="J60" s="244"/>
      <c r="K60" s="244"/>
      <c r="L60" s="245"/>
      <c r="M60" s="245"/>
      <c r="N60" s="245"/>
      <c r="O60" s="245"/>
      <c r="P60" s="245"/>
      <c r="Q60" s="245"/>
      <c r="R60" s="245"/>
      <c r="S60" s="245"/>
      <c r="T60" s="244"/>
      <c r="U60" s="280"/>
      <c r="V60" s="272"/>
      <c r="W60" s="272"/>
      <c r="X60" s="272"/>
      <c r="Y60" s="272"/>
      <c r="Z60" s="272"/>
      <c r="AA60" s="272"/>
      <c r="AB60" s="272"/>
      <c r="AC60" s="272"/>
      <c r="AD60" s="272"/>
      <c r="AE60" s="272"/>
      <c r="AF60" s="272"/>
      <c r="AG60" s="272"/>
      <c r="AH60" s="272"/>
      <c r="AI60" s="272"/>
      <c r="AJ60" s="272"/>
      <c r="AK60" s="272"/>
      <c r="AL60" s="272"/>
      <c r="AM60" s="272"/>
      <c r="AN60" s="272"/>
      <c r="AO60" s="51"/>
      <c r="AP60" s="151"/>
      <c r="AQ60" s="151"/>
      <c r="AR60" s="151"/>
      <c r="AS60" s="151"/>
      <c r="AT60" s="151"/>
      <c r="AU60" s="151"/>
      <c r="AV60" s="151"/>
      <c r="AW60" s="151"/>
      <c r="AX60" s="151"/>
      <c r="AY60" s="151"/>
    </row>
    <row r="61" spans="1:67" ht="15.75" x14ac:dyDescent="0.15">
      <c r="A61" s="48"/>
      <c r="C61" s="117" t="s">
        <v>341</v>
      </c>
      <c r="D61" s="244"/>
      <c r="E61" s="244"/>
      <c r="F61" s="244"/>
      <c r="G61" s="244"/>
      <c r="H61" s="244"/>
      <c r="I61" s="244"/>
      <c r="J61" s="244"/>
      <c r="K61" s="244"/>
      <c r="L61" s="245"/>
      <c r="M61" s="245"/>
      <c r="N61" s="245"/>
      <c r="O61" s="245"/>
      <c r="P61" s="245"/>
      <c r="Q61" s="245"/>
      <c r="R61" s="245"/>
      <c r="S61" s="245"/>
      <c r="T61" s="244"/>
      <c r="U61" s="281"/>
      <c r="V61" s="272"/>
      <c r="W61" s="272"/>
      <c r="X61" s="272"/>
      <c r="Y61" s="272"/>
      <c r="Z61" s="272"/>
      <c r="AA61" s="272"/>
      <c r="AB61" s="272"/>
      <c r="AC61" s="272"/>
      <c r="AD61" s="272"/>
      <c r="AE61" s="272"/>
      <c r="AF61" s="272"/>
      <c r="AG61" s="272"/>
      <c r="AH61" s="272"/>
      <c r="AI61" s="272"/>
      <c r="AJ61" s="272"/>
      <c r="AK61" s="272"/>
      <c r="AL61" s="272"/>
      <c r="AM61" s="272"/>
      <c r="AN61" s="272"/>
      <c r="AO61" s="51"/>
      <c r="AP61" s="151"/>
      <c r="AQ61" s="151"/>
      <c r="AR61" s="151"/>
      <c r="AS61" s="151"/>
      <c r="AT61" s="151"/>
      <c r="AU61" s="151"/>
      <c r="AV61" s="151"/>
      <c r="AW61" s="151"/>
      <c r="AX61" s="151"/>
      <c r="AY61" s="151"/>
      <c r="BA61" s="51"/>
      <c r="BB61" s="51"/>
      <c r="BC61" s="51"/>
      <c r="BD61" s="51"/>
      <c r="BE61" s="51"/>
      <c r="BF61" s="51"/>
      <c r="BG61" s="51"/>
      <c r="BH61" s="51"/>
      <c r="BI61" s="51"/>
      <c r="BJ61" s="51"/>
      <c r="BK61" s="51"/>
      <c r="BL61" s="51"/>
      <c r="BM61" s="51"/>
      <c r="BN61" s="51"/>
      <c r="BO61" s="51"/>
    </row>
    <row r="62" spans="1:67" s="51" customFormat="1" ht="16.5" x14ac:dyDescent="0.15">
      <c r="A62" s="89"/>
      <c r="C62" s="455"/>
      <c r="D62" s="407" t="s">
        <v>321</v>
      </c>
      <c r="E62" s="408"/>
      <c r="F62" s="408"/>
      <c r="G62" s="408"/>
      <c r="H62" s="408"/>
      <c r="I62" s="420"/>
      <c r="J62" s="407" t="s">
        <v>314</v>
      </c>
      <c r="K62" s="408"/>
      <c r="L62" s="408"/>
      <c r="M62" s="408"/>
      <c r="N62" s="408"/>
      <c r="O62" s="420"/>
      <c r="P62" s="407" t="s">
        <v>302</v>
      </c>
      <c r="Q62" s="408"/>
      <c r="R62" s="408"/>
      <c r="S62" s="408"/>
      <c r="T62" s="408"/>
      <c r="U62" s="420"/>
      <c r="V62" s="85"/>
      <c r="W62" s="85"/>
      <c r="X62" s="85"/>
      <c r="Y62" s="85"/>
      <c r="Z62" s="85"/>
      <c r="AA62" s="85"/>
      <c r="AB62" s="85"/>
      <c r="AC62" s="85"/>
      <c r="AD62" s="85"/>
      <c r="AE62" s="85"/>
      <c r="AF62" s="85"/>
      <c r="AG62" s="85"/>
      <c r="AH62" s="85"/>
      <c r="AI62" s="85"/>
      <c r="AJ62" s="85"/>
      <c r="AK62" s="85"/>
      <c r="AL62" s="85"/>
      <c r="AM62" s="85"/>
      <c r="AN62" s="85"/>
      <c r="AO62" s="85"/>
      <c r="AP62" s="85"/>
      <c r="AQ62" s="85"/>
      <c r="AR62" s="85"/>
      <c r="AS62" s="85"/>
      <c r="AT62" s="85"/>
      <c r="AU62" s="85"/>
      <c r="AV62" s="85"/>
      <c r="AW62" s="85"/>
      <c r="AX62" s="85"/>
      <c r="AY62" s="85"/>
      <c r="AZ62" s="23"/>
    </row>
    <row r="63" spans="1:67" s="51" customFormat="1" ht="15.75" x14ac:dyDescent="0.15">
      <c r="A63" s="54"/>
      <c r="C63" s="456"/>
      <c r="D63" s="443" t="s">
        <v>110</v>
      </c>
      <c r="E63" s="444"/>
      <c r="F63" s="443" t="s">
        <v>304</v>
      </c>
      <c r="G63" s="444"/>
      <c r="H63" s="443" t="s">
        <v>301</v>
      </c>
      <c r="I63" s="444"/>
      <c r="J63" s="443" t="s">
        <v>110</v>
      </c>
      <c r="K63" s="444"/>
      <c r="L63" s="443" t="s">
        <v>304</v>
      </c>
      <c r="M63" s="444"/>
      <c r="N63" s="443" t="s">
        <v>301</v>
      </c>
      <c r="O63" s="444"/>
      <c r="P63" s="443" t="s">
        <v>110</v>
      </c>
      <c r="Q63" s="444"/>
      <c r="R63" s="443" t="s">
        <v>304</v>
      </c>
      <c r="S63" s="444"/>
      <c r="T63" s="443" t="s">
        <v>301</v>
      </c>
      <c r="U63" s="444"/>
      <c r="V63" s="246"/>
      <c r="W63" s="246"/>
      <c r="X63" s="246"/>
      <c r="Y63" s="246"/>
      <c r="Z63" s="246"/>
      <c r="AA63" s="246"/>
      <c r="AB63" s="246"/>
      <c r="AC63" s="246"/>
      <c r="AD63" s="246"/>
      <c r="AE63" s="246"/>
      <c r="AF63" s="246"/>
      <c r="AG63" s="246"/>
      <c r="AH63" s="246"/>
      <c r="AI63" s="246"/>
      <c r="AJ63" s="246"/>
      <c r="AK63" s="246"/>
      <c r="AL63" s="246"/>
      <c r="AM63" s="246"/>
      <c r="AN63" s="275"/>
      <c r="AO63" s="275"/>
      <c r="AP63" s="123"/>
      <c r="AQ63" s="275"/>
      <c r="AR63" s="275"/>
      <c r="AS63" s="275"/>
      <c r="AT63" s="275"/>
      <c r="AU63" s="123"/>
      <c r="AV63" s="275"/>
      <c r="AW63" s="275"/>
      <c r="AX63" s="275"/>
      <c r="AY63" s="275"/>
      <c r="AZ63" s="23"/>
      <c r="BA63" s="273"/>
      <c r="BB63" s="273"/>
      <c r="BC63" s="273"/>
      <c r="BD63" s="273"/>
      <c r="BE63" s="273"/>
      <c r="BF63" s="273"/>
      <c r="BG63" s="273"/>
      <c r="BH63" s="273"/>
    </row>
    <row r="64" spans="1:67" s="51" customFormat="1" ht="15.75" x14ac:dyDescent="0.15">
      <c r="A64" s="54"/>
      <c r="C64" s="98" t="s">
        <v>257</v>
      </c>
      <c r="D64" s="316"/>
      <c r="E64" s="317"/>
      <c r="F64" s="432"/>
      <c r="G64" s="433"/>
      <c r="H64" s="436"/>
      <c r="I64" s="437"/>
      <c r="J64" s="316"/>
      <c r="K64" s="317"/>
      <c r="L64" s="432"/>
      <c r="M64" s="433"/>
      <c r="N64" s="436"/>
      <c r="O64" s="437"/>
      <c r="P64" s="316"/>
      <c r="Q64" s="317"/>
      <c r="R64" s="432"/>
      <c r="S64" s="433"/>
      <c r="T64" s="436"/>
      <c r="U64" s="437"/>
      <c r="V64" s="286"/>
      <c r="W64" s="286"/>
      <c r="X64" s="101"/>
      <c r="Y64" s="101"/>
      <c r="Z64" s="287"/>
      <c r="AA64" s="287"/>
      <c r="AB64" s="286"/>
      <c r="AC64" s="286"/>
      <c r="AD64" s="101"/>
      <c r="AE64" s="101"/>
      <c r="AF64" s="287"/>
      <c r="AG64" s="287"/>
      <c r="AH64" s="286"/>
      <c r="AI64" s="286"/>
      <c r="AJ64" s="101"/>
      <c r="AK64" s="101"/>
      <c r="AL64" s="287"/>
      <c r="AM64" s="287"/>
      <c r="AN64" s="101"/>
      <c r="AO64" s="101"/>
      <c r="AP64" s="101"/>
      <c r="AQ64" s="101"/>
      <c r="AR64" s="101"/>
      <c r="AS64" s="101"/>
      <c r="AT64" s="101"/>
      <c r="AU64" s="101"/>
      <c r="AV64" s="101"/>
      <c r="AW64" s="101"/>
      <c r="AX64" s="101"/>
      <c r="AY64" s="101"/>
      <c r="AZ64" s="23"/>
      <c r="BI64" s="273"/>
      <c r="BJ64" s="273"/>
      <c r="BK64" s="273"/>
      <c r="BL64" s="457"/>
      <c r="BM64" s="457"/>
      <c r="BN64" s="457"/>
    </row>
    <row r="65" spans="1:78" s="51" customFormat="1" ht="15.75" x14ac:dyDescent="0.15">
      <c r="A65" s="54"/>
      <c r="C65" s="105" t="s">
        <v>258</v>
      </c>
      <c r="D65" s="316"/>
      <c r="E65" s="317"/>
      <c r="F65" s="434"/>
      <c r="G65" s="435"/>
      <c r="H65" s="436"/>
      <c r="I65" s="437"/>
      <c r="J65" s="316"/>
      <c r="K65" s="317"/>
      <c r="L65" s="434"/>
      <c r="M65" s="435"/>
      <c r="N65" s="436"/>
      <c r="O65" s="437"/>
      <c r="P65" s="316"/>
      <c r="Q65" s="317"/>
      <c r="R65" s="434"/>
      <c r="S65" s="435"/>
      <c r="T65" s="436"/>
      <c r="U65" s="437"/>
      <c r="V65" s="286"/>
      <c r="W65" s="286"/>
      <c r="Z65" s="287"/>
      <c r="AA65" s="287"/>
      <c r="AB65" s="286"/>
      <c r="AC65" s="286"/>
      <c r="AF65" s="287"/>
      <c r="AG65" s="287"/>
      <c r="AH65" s="286"/>
      <c r="AI65" s="286"/>
      <c r="AL65" s="287"/>
      <c r="AM65" s="287"/>
      <c r="AZ65" s="23"/>
      <c r="BA65" s="273"/>
      <c r="BB65" s="273"/>
      <c r="BC65" s="273"/>
      <c r="BD65" s="273"/>
      <c r="BE65" s="273"/>
      <c r="BF65" s="273"/>
      <c r="BG65" s="273"/>
      <c r="BH65" s="273"/>
      <c r="BI65" s="273"/>
      <c r="BJ65" s="273"/>
      <c r="BK65" s="273"/>
      <c r="BL65" s="273"/>
      <c r="BM65" s="273"/>
      <c r="BN65" s="273"/>
    </row>
    <row r="66" spans="1:78" s="51" customFormat="1" ht="15.75" x14ac:dyDescent="0.15">
      <c r="A66" s="54"/>
      <c r="C66" s="455"/>
      <c r="D66" s="407" t="s">
        <v>303</v>
      </c>
      <c r="E66" s="408"/>
      <c r="F66" s="408"/>
      <c r="G66" s="408"/>
      <c r="H66" s="408"/>
      <c r="I66" s="408"/>
      <c r="J66" s="407" t="s">
        <v>342</v>
      </c>
      <c r="K66" s="408"/>
      <c r="L66" s="408"/>
      <c r="M66" s="408"/>
      <c r="N66" s="408"/>
      <c r="O66" s="420"/>
      <c r="P66" s="416" t="s">
        <v>308</v>
      </c>
      <c r="Q66" s="416"/>
      <c r="R66" s="416"/>
      <c r="S66" s="416"/>
      <c r="T66" s="416"/>
      <c r="U66" s="416"/>
      <c r="V66" s="288"/>
      <c r="W66" s="288"/>
      <c r="X66" s="273"/>
      <c r="Y66" s="273"/>
      <c r="Z66" s="237"/>
      <c r="AA66" s="237"/>
      <c r="AB66" s="288"/>
      <c r="AC66" s="288"/>
      <c r="AD66" s="273"/>
      <c r="AE66" s="273"/>
      <c r="AF66" s="237"/>
      <c r="AG66" s="237"/>
      <c r="AH66" s="288"/>
      <c r="AI66" s="288"/>
      <c r="AJ66" s="273"/>
      <c r="AK66" s="273"/>
      <c r="AL66" s="237"/>
      <c r="AM66" s="237"/>
      <c r="AZ66" s="23"/>
      <c r="BA66" s="273"/>
      <c r="BB66" s="273"/>
      <c r="BC66" s="273"/>
      <c r="BD66" s="273"/>
      <c r="BE66" s="273"/>
      <c r="BF66" s="273"/>
      <c r="BG66" s="273"/>
      <c r="BH66" s="273"/>
      <c r="BI66" s="273"/>
      <c r="BJ66" s="273"/>
      <c r="BK66" s="273"/>
      <c r="BL66" s="273"/>
      <c r="BM66" s="273"/>
      <c r="BN66" s="273"/>
    </row>
    <row r="67" spans="1:78" s="51" customFormat="1" ht="15.75" x14ac:dyDescent="0.15">
      <c r="A67" s="54"/>
      <c r="C67" s="456"/>
      <c r="D67" s="443" t="s">
        <v>110</v>
      </c>
      <c r="E67" s="444"/>
      <c r="F67" s="443" t="s">
        <v>304</v>
      </c>
      <c r="G67" s="444"/>
      <c r="H67" s="443" t="s">
        <v>301</v>
      </c>
      <c r="I67" s="444"/>
      <c r="J67" s="443" t="s">
        <v>110</v>
      </c>
      <c r="K67" s="444"/>
      <c r="L67" s="443" t="s">
        <v>304</v>
      </c>
      <c r="M67" s="444"/>
      <c r="N67" s="443" t="s">
        <v>301</v>
      </c>
      <c r="O67" s="444"/>
      <c r="P67" s="473" t="s">
        <v>110</v>
      </c>
      <c r="Q67" s="474"/>
      <c r="R67" s="473" t="s">
        <v>304</v>
      </c>
      <c r="S67" s="474"/>
      <c r="T67" s="475" t="s">
        <v>301</v>
      </c>
      <c r="U67" s="475"/>
      <c r="V67" s="288"/>
      <c r="W67" s="288"/>
      <c r="X67" s="273"/>
      <c r="Y67" s="273"/>
      <c r="Z67" s="237"/>
      <c r="AA67" s="237"/>
      <c r="AB67" s="288"/>
      <c r="AC67" s="288"/>
      <c r="AD67" s="273"/>
      <c r="AE67" s="273"/>
      <c r="AF67" s="237"/>
      <c r="AG67" s="237"/>
      <c r="AH67" s="288"/>
      <c r="AI67" s="288"/>
      <c r="AJ67" s="273"/>
      <c r="AK67" s="273"/>
      <c r="AL67" s="237"/>
      <c r="AM67" s="237"/>
      <c r="AZ67" s="23"/>
      <c r="BA67" s="273"/>
      <c r="BB67" s="273"/>
      <c r="BC67" s="273"/>
      <c r="BD67" s="273"/>
      <c r="BE67" s="273"/>
      <c r="BF67" s="273"/>
      <c r="BG67" s="273"/>
      <c r="BH67" s="273"/>
      <c r="BI67" s="273"/>
      <c r="BJ67" s="273"/>
      <c r="BK67" s="273"/>
      <c r="BL67" s="273"/>
      <c r="BM67" s="273"/>
      <c r="BN67" s="273"/>
    </row>
    <row r="68" spans="1:78" s="51" customFormat="1" ht="15.75" x14ac:dyDescent="0.15">
      <c r="A68" s="54"/>
      <c r="C68" s="98" t="s">
        <v>257</v>
      </c>
      <c r="D68" s="316"/>
      <c r="E68" s="317"/>
      <c r="F68" s="432"/>
      <c r="G68" s="433"/>
      <c r="H68" s="436"/>
      <c r="I68" s="437"/>
      <c r="J68" s="316"/>
      <c r="K68" s="317"/>
      <c r="L68" s="432"/>
      <c r="M68" s="433"/>
      <c r="N68" s="436"/>
      <c r="O68" s="437"/>
      <c r="P68" s="316"/>
      <c r="Q68" s="317"/>
      <c r="R68" s="432"/>
      <c r="S68" s="433"/>
      <c r="T68" s="445"/>
      <c r="U68" s="445"/>
      <c r="V68" s="288"/>
      <c r="W68" s="288"/>
      <c r="X68" s="273"/>
      <c r="Y68" s="273"/>
      <c r="Z68" s="237"/>
      <c r="AA68" s="237"/>
      <c r="AB68" s="288"/>
      <c r="AC68" s="288"/>
      <c r="AD68" s="273"/>
      <c r="AE68" s="273"/>
      <c r="AF68" s="237"/>
      <c r="AG68" s="237"/>
      <c r="AH68" s="288"/>
      <c r="AI68" s="288"/>
      <c r="AJ68" s="273"/>
      <c r="AK68" s="273"/>
      <c r="AL68" s="237"/>
      <c r="AM68" s="237"/>
      <c r="AZ68" s="23"/>
      <c r="BA68" s="273"/>
      <c r="BB68" s="273"/>
      <c r="BC68" s="273"/>
      <c r="BD68" s="273"/>
      <c r="BE68" s="273"/>
      <c r="BF68" s="273"/>
      <c r="BG68" s="273"/>
      <c r="BH68" s="273"/>
      <c r="BI68" s="273"/>
      <c r="BJ68" s="273"/>
      <c r="BK68" s="273"/>
      <c r="BL68" s="273"/>
      <c r="BM68" s="273"/>
      <c r="BN68" s="273"/>
    </row>
    <row r="69" spans="1:78" s="51" customFormat="1" ht="15.75" x14ac:dyDescent="0.15">
      <c r="A69" s="54"/>
      <c r="C69" s="105" t="s">
        <v>258</v>
      </c>
      <c r="D69" s="316"/>
      <c r="E69" s="317"/>
      <c r="F69" s="434"/>
      <c r="G69" s="435"/>
      <c r="H69" s="436"/>
      <c r="I69" s="437"/>
      <c r="J69" s="316"/>
      <c r="K69" s="317"/>
      <c r="L69" s="434"/>
      <c r="M69" s="435"/>
      <c r="N69" s="436"/>
      <c r="O69" s="437"/>
      <c r="P69" s="316"/>
      <c r="Q69" s="317"/>
      <c r="R69" s="434"/>
      <c r="S69" s="435"/>
      <c r="T69" s="445"/>
      <c r="U69" s="445"/>
      <c r="V69" s="288"/>
      <c r="W69" s="288"/>
      <c r="X69" s="273"/>
      <c r="Y69" s="273"/>
      <c r="Z69" s="237"/>
      <c r="AA69" s="237"/>
      <c r="AB69" s="288"/>
      <c r="AC69" s="288"/>
      <c r="AD69" s="273"/>
      <c r="AE69" s="273"/>
      <c r="AF69" s="237"/>
      <c r="AG69" s="237"/>
      <c r="AH69" s="288"/>
      <c r="AI69" s="288"/>
      <c r="AJ69" s="273"/>
      <c r="AK69" s="273"/>
      <c r="AL69" s="237"/>
      <c r="AM69" s="237"/>
      <c r="AZ69" s="23"/>
      <c r="BA69" s="273"/>
      <c r="BB69" s="273"/>
      <c r="BC69" s="273"/>
      <c r="BD69" s="273"/>
      <c r="BE69" s="273"/>
      <c r="BF69" s="273"/>
      <c r="BG69" s="273"/>
      <c r="BH69" s="273"/>
      <c r="BI69" s="273"/>
      <c r="BJ69" s="273"/>
      <c r="BK69" s="273"/>
      <c r="BL69" s="273"/>
      <c r="BM69" s="273"/>
      <c r="BN69" s="273"/>
    </row>
    <row r="70" spans="1:78" s="51" customFormat="1" ht="15.75" x14ac:dyDescent="0.15">
      <c r="A70" s="54"/>
      <c r="C70" s="246"/>
      <c r="D70" s="273"/>
      <c r="E70" s="273"/>
      <c r="F70" s="273"/>
      <c r="G70" s="273"/>
      <c r="H70" s="273"/>
      <c r="I70" s="273"/>
      <c r="J70" s="273"/>
      <c r="K70" s="273"/>
      <c r="L70" s="273"/>
      <c r="M70" s="273"/>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23"/>
    </row>
    <row r="71" spans="1:78" s="51" customFormat="1" ht="16.5" x14ac:dyDescent="0.15">
      <c r="A71" s="89"/>
      <c r="C71" s="137" t="s">
        <v>322</v>
      </c>
      <c r="D71" s="138"/>
      <c r="E71" s="138"/>
      <c r="F71" s="138"/>
      <c r="G71" s="138"/>
      <c r="H71" s="138"/>
      <c r="I71" s="138"/>
      <c r="J71" s="114"/>
      <c r="K71" s="114"/>
      <c r="L71" s="114"/>
      <c r="M71" s="114"/>
      <c r="N71" s="114"/>
      <c r="O71" s="114"/>
      <c r="P71" s="114"/>
      <c r="Q71" s="114"/>
      <c r="R71" s="114"/>
      <c r="S71" s="114"/>
      <c r="T71" s="114"/>
      <c r="U71" s="114"/>
      <c r="V71" s="114"/>
      <c r="W71" s="114"/>
      <c r="X71" s="114"/>
      <c r="Y71" s="114"/>
      <c r="Z71" s="114"/>
      <c r="AA71" s="253"/>
      <c r="AB71" s="54"/>
      <c r="AP71" s="52"/>
      <c r="AQ71" s="52"/>
      <c r="AR71" s="52"/>
      <c r="AS71" s="52"/>
      <c r="AT71" s="52"/>
      <c r="AU71" s="52"/>
      <c r="AV71" s="52"/>
      <c r="AW71" s="52"/>
      <c r="AX71" s="52"/>
      <c r="AY71" s="52"/>
      <c r="AZ71" s="23"/>
      <c r="BP71" s="56"/>
      <c r="BQ71" s="107"/>
      <c r="BR71" s="107"/>
      <c r="BS71" s="107"/>
      <c r="BT71" s="107"/>
    </row>
    <row r="72" spans="1:78" s="51" customFormat="1" ht="15.75" x14ac:dyDescent="0.15">
      <c r="A72" s="54"/>
      <c r="C72" s="139" t="s">
        <v>343</v>
      </c>
      <c r="D72" s="140"/>
      <c r="E72" s="140"/>
      <c r="F72" s="140"/>
      <c r="G72" s="140"/>
      <c r="H72" s="140"/>
      <c r="I72" s="140"/>
      <c r="J72" s="85"/>
      <c r="K72" s="85"/>
      <c r="L72" s="85"/>
      <c r="M72" s="85"/>
      <c r="N72" s="85"/>
      <c r="O72" s="85"/>
      <c r="P72" s="85"/>
      <c r="Q72" s="85"/>
      <c r="R72" s="85"/>
      <c r="S72" s="85"/>
      <c r="T72" s="85"/>
      <c r="U72" s="85"/>
      <c r="V72" s="85"/>
      <c r="W72" s="85"/>
      <c r="X72" s="85"/>
      <c r="Y72" s="85"/>
      <c r="Z72" s="85"/>
      <c r="AA72" s="85"/>
      <c r="AB72" s="116"/>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23"/>
      <c r="BC72" s="273"/>
      <c r="BD72" s="273"/>
      <c r="BE72" s="273"/>
      <c r="BF72" s="273"/>
      <c r="BG72" s="273"/>
      <c r="BH72" s="273"/>
      <c r="BI72" s="273"/>
      <c r="BJ72" s="273"/>
      <c r="BK72" s="273"/>
      <c r="BL72" s="457"/>
      <c r="BM72" s="457"/>
      <c r="BN72" s="457"/>
      <c r="BO72" s="457"/>
      <c r="BP72" s="457"/>
      <c r="BQ72" s="457"/>
      <c r="BR72" s="457"/>
      <c r="BS72" s="457"/>
      <c r="BT72" s="457"/>
      <c r="BU72" s="457"/>
      <c r="BV72" s="457"/>
      <c r="BW72" s="457"/>
      <c r="BX72" s="457"/>
      <c r="BY72" s="457"/>
      <c r="BZ72" s="457"/>
    </row>
    <row r="73" spans="1:78" s="51" customFormat="1" ht="15.75" x14ac:dyDescent="0.15">
      <c r="A73" s="54"/>
      <c r="C73" s="141" t="s">
        <v>320</v>
      </c>
      <c r="D73" s="142"/>
      <c r="E73" s="142"/>
      <c r="F73" s="142"/>
      <c r="G73" s="142"/>
      <c r="H73" s="142"/>
      <c r="I73" s="142"/>
      <c r="J73" s="85"/>
      <c r="K73" s="85"/>
      <c r="L73" s="85"/>
      <c r="M73" s="85"/>
      <c r="N73" s="85"/>
      <c r="O73" s="85"/>
      <c r="P73" s="85"/>
      <c r="Q73" s="85"/>
      <c r="R73" s="85"/>
      <c r="S73" s="85"/>
      <c r="T73" s="85"/>
      <c r="U73" s="85"/>
      <c r="V73" s="85"/>
      <c r="W73" s="85"/>
      <c r="X73" s="85"/>
      <c r="Y73" s="85"/>
      <c r="Z73" s="85"/>
      <c r="AA73" s="85"/>
      <c r="AB73" s="116"/>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23"/>
      <c r="BA73" s="275"/>
      <c r="BB73" s="275"/>
      <c r="BC73" s="275"/>
      <c r="BD73" s="275"/>
      <c r="BE73" s="275"/>
      <c r="BF73" s="275"/>
      <c r="BG73" s="275"/>
      <c r="BH73" s="275"/>
      <c r="BI73" s="275"/>
      <c r="BJ73" s="275"/>
      <c r="BK73" s="275"/>
      <c r="BL73" s="275"/>
      <c r="BM73" s="275"/>
      <c r="BN73" s="275"/>
      <c r="BO73" s="275"/>
      <c r="BP73" s="275"/>
      <c r="BQ73" s="275"/>
      <c r="BR73" s="275"/>
      <c r="BS73" s="275"/>
      <c r="BT73" s="275"/>
      <c r="BU73" s="275"/>
      <c r="BV73" s="275"/>
      <c r="BW73" s="275"/>
      <c r="BX73" s="275"/>
      <c r="BY73" s="275"/>
      <c r="BZ73" s="275"/>
    </row>
    <row r="74" spans="1:78" s="51" customFormat="1" ht="15.75" x14ac:dyDescent="0.15">
      <c r="A74" s="54"/>
      <c r="C74" s="128"/>
      <c r="D74" s="129"/>
      <c r="E74" s="129"/>
      <c r="F74" s="129"/>
      <c r="G74" s="129"/>
      <c r="H74" s="129"/>
      <c r="I74" s="129"/>
      <c r="J74" s="319" t="s">
        <v>256</v>
      </c>
      <c r="K74" s="319"/>
      <c r="L74" s="319"/>
      <c r="M74" s="319"/>
      <c r="N74" s="319"/>
      <c r="O74" s="319"/>
      <c r="P74" s="319" t="s">
        <v>331</v>
      </c>
      <c r="Q74" s="319"/>
      <c r="R74" s="319"/>
      <c r="S74" s="319"/>
      <c r="T74" s="319"/>
      <c r="U74" s="319"/>
      <c r="V74" s="319" t="s">
        <v>302</v>
      </c>
      <c r="W74" s="319"/>
      <c r="X74" s="319"/>
      <c r="Y74" s="319"/>
      <c r="Z74" s="319"/>
      <c r="AA74" s="319"/>
      <c r="AB74" s="282"/>
      <c r="AC74" s="104"/>
      <c r="AD74" s="104"/>
      <c r="AE74" s="104"/>
      <c r="AF74" s="104"/>
      <c r="AG74" s="274"/>
      <c r="AH74" s="104"/>
      <c r="AI74" s="104"/>
      <c r="AJ74" s="104"/>
      <c r="AK74" s="104"/>
      <c r="AL74" s="104"/>
      <c r="AM74" s="274"/>
      <c r="AN74" s="104"/>
      <c r="AO74" s="104"/>
      <c r="AP74" s="104"/>
      <c r="AQ74" s="104"/>
      <c r="AR74" s="104"/>
      <c r="AS74" s="104"/>
      <c r="AT74" s="104"/>
      <c r="AU74" s="104"/>
      <c r="AV74" s="274"/>
      <c r="AW74" s="104"/>
      <c r="AX74" s="104"/>
      <c r="AY74" s="104"/>
      <c r="AZ74" s="23"/>
      <c r="BA74" s="101"/>
      <c r="BB74" s="101"/>
      <c r="BC74" s="101"/>
      <c r="BD74" s="101"/>
      <c r="BE74" s="101"/>
      <c r="BF74" s="101"/>
      <c r="BG74" s="101"/>
      <c r="BH74" s="101"/>
      <c r="BI74" s="101"/>
      <c r="BJ74" s="101"/>
      <c r="BK74" s="101"/>
      <c r="BL74" s="101"/>
      <c r="BM74" s="101"/>
      <c r="BN74" s="101"/>
      <c r="BO74" s="101"/>
      <c r="BP74" s="101"/>
      <c r="BQ74" s="101"/>
      <c r="BR74" s="101"/>
      <c r="BS74" s="101"/>
      <c r="BT74" s="101"/>
      <c r="BU74" s="101"/>
      <c r="BV74" s="101"/>
      <c r="BW74" s="101"/>
      <c r="BX74" s="101"/>
      <c r="BY74" s="101"/>
      <c r="BZ74" s="101"/>
    </row>
    <row r="75" spans="1:78" s="51" customFormat="1" ht="15.75" customHeight="1" x14ac:dyDescent="0.15">
      <c r="A75" s="54"/>
      <c r="C75" s="423" t="s">
        <v>344</v>
      </c>
      <c r="D75" s="424"/>
      <c r="E75" s="424"/>
      <c r="F75" s="424"/>
      <c r="G75" s="424"/>
      <c r="H75" s="424"/>
      <c r="I75" s="425"/>
      <c r="J75" s="313" t="s">
        <v>110</v>
      </c>
      <c r="K75" s="313"/>
      <c r="L75" s="313" t="s">
        <v>345</v>
      </c>
      <c r="M75" s="313"/>
      <c r="N75" s="313" t="s">
        <v>275</v>
      </c>
      <c r="O75" s="313"/>
      <c r="P75" s="313" t="s">
        <v>110</v>
      </c>
      <c r="Q75" s="313"/>
      <c r="R75" s="313" t="s">
        <v>345</v>
      </c>
      <c r="S75" s="313"/>
      <c r="T75" s="313" t="s">
        <v>275</v>
      </c>
      <c r="U75" s="313"/>
      <c r="V75" s="313" t="s">
        <v>110</v>
      </c>
      <c r="W75" s="313"/>
      <c r="X75" s="313" t="s">
        <v>345</v>
      </c>
      <c r="Y75" s="313"/>
      <c r="Z75" s="313" t="s">
        <v>275</v>
      </c>
      <c r="AA75" s="313"/>
      <c r="AB75" s="242"/>
      <c r="AC75" s="273"/>
      <c r="AD75" s="273"/>
      <c r="AE75" s="273"/>
      <c r="AF75" s="273"/>
      <c r="AG75" s="273"/>
      <c r="AH75" s="273"/>
      <c r="AI75" s="273"/>
      <c r="AJ75" s="273"/>
      <c r="AK75" s="273"/>
      <c r="AL75" s="273"/>
      <c r="AM75" s="273"/>
      <c r="AN75" s="273"/>
      <c r="AO75" s="273"/>
      <c r="AP75" s="273"/>
      <c r="AV75" s="273"/>
      <c r="AZ75" s="23"/>
    </row>
    <row r="76" spans="1:78" s="51" customFormat="1" ht="15.75" customHeight="1" x14ac:dyDescent="0.15">
      <c r="A76" s="54"/>
      <c r="C76" s="426"/>
      <c r="D76" s="427"/>
      <c r="E76" s="427"/>
      <c r="F76" s="427"/>
      <c r="G76" s="427"/>
      <c r="H76" s="427"/>
      <c r="I76" s="428"/>
      <c r="J76" s="320"/>
      <c r="K76" s="320"/>
      <c r="L76" s="321"/>
      <c r="M76" s="321"/>
      <c r="N76" s="314" t="str">
        <f>IF(L76="〇",VALUE(2400),"")</f>
        <v/>
      </c>
      <c r="O76" s="314"/>
      <c r="P76" s="320"/>
      <c r="Q76" s="320"/>
      <c r="R76" s="321"/>
      <c r="S76" s="321"/>
      <c r="T76" s="314" t="str">
        <f>IF(R76="〇",VALUE(2400),"")</f>
        <v/>
      </c>
      <c r="U76" s="314"/>
      <c r="V76" s="320"/>
      <c r="W76" s="320"/>
      <c r="X76" s="321"/>
      <c r="Y76" s="321"/>
      <c r="Z76" s="315" t="str">
        <f t="shared" ref="Z76:Z77" si="0">IF(X76="〇",VALUE(2400),"")</f>
        <v/>
      </c>
      <c r="AA76" s="315"/>
      <c r="AB76" s="289"/>
      <c r="AC76" s="288"/>
      <c r="AD76" s="273"/>
      <c r="AE76" s="273"/>
      <c r="AF76" s="235"/>
      <c r="AG76" s="235"/>
      <c r="AH76" s="288"/>
      <c r="AI76" s="288"/>
      <c r="AJ76" s="273"/>
      <c r="AK76" s="273"/>
      <c r="AL76" s="235"/>
      <c r="AM76" s="235"/>
      <c r="AN76" s="288"/>
      <c r="AO76" s="273"/>
      <c r="AP76" s="235"/>
      <c r="AV76" s="273"/>
      <c r="AZ76" s="23"/>
    </row>
    <row r="77" spans="1:78" s="51" customFormat="1" ht="15.75" customHeight="1" x14ac:dyDescent="0.15">
      <c r="A77" s="54"/>
      <c r="C77" s="426"/>
      <c r="D77" s="427"/>
      <c r="E77" s="427"/>
      <c r="F77" s="427"/>
      <c r="G77" s="427"/>
      <c r="H77" s="427"/>
      <c r="I77" s="428"/>
      <c r="J77" s="320"/>
      <c r="K77" s="320"/>
      <c r="L77" s="321"/>
      <c r="M77" s="321"/>
      <c r="N77" s="314" t="str">
        <f>IF(L77="〇",VALUE(2400),"")</f>
        <v/>
      </c>
      <c r="O77" s="314"/>
      <c r="P77" s="320"/>
      <c r="Q77" s="320"/>
      <c r="R77" s="321"/>
      <c r="S77" s="321"/>
      <c r="T77" s="315" t="str">
        <f>IF(R77="〇",VALUE(2400),"")</f>
        <v/>
      </c>
      <c r="U77" s="315"/>
      <c r="V77" s="320"/>
      <c r="W77" s="320"/>
      <c r="X77" s="321"/>
      <c r="Y77" s="321"/>
      <c r="Z77" s="315" t="str">
        <f t="shared" si="0"/>
        <v/>
      </c>
      <c r="AA77" s="315"/>
      <c r="AB77" s="289"/>
      <c r="AC77" s="288"/>
      <c r="AD77" s="273"/>
      <c r="AE77" s="273"/>
      <c r="AF77" s="235"/>
      <c r="AG77" s="235"/>
      <c r="AH77" s="288"/>
      <c r="AI77" s="288"/>
      <c r="AJ77" s="273"/>
      <c r="AK77" s="273"/>
      <c r="AL77" s="235"/>
      <c r="AM77" s="235"/>
      <c r="AN77" s="288"/>
      <c r="AO77" s="273"/>
      <c r="AP77" s="235"/>
      <c r="AV77" s="273"/>
      <c r="AZ77" s="23"/>
    </row>
    <row r="78" spans="1:78" s="51" customFormat="1" ht="15.75" customHeight="1" x14ac:dyDescent="0.15">
      <c r="A78" s="54"/>
      <c r="C78" s="426"/>
      <c r="D78" s="427"/>
      <c r="E78" s="427"/>
      <c r="F78" s="427"/>
      <c r="G78" s="427"/>
      <c r="H78" s="427"/>
      <c r="I78" s="428"/>
      <c r="J78" s="319" t="s">
        <v>303</v>
      </c>
      <c r="K78" s="319"/>
      <c r="L78" s="319"/>
      <c r="M78" s="319"/>
      <c r="N78" s="319"/>
      <c r="O78" s="319"/>
      <c r="P78" s="319" t="s">
        <v>305</v>
      </c>
      <c r="Q78" s="319"/>
      <c r="R78" s="319"/>
      <c r="S78" s="319"/>
      <c r="T78" s="319"/>
      <c r="U78" s="319"/>
      <c r="V78" s="319" t="s">
        <v>308</v>
      </c>
      <c r="W78" s="319"/>
      <c r="X78" s="319"/>
      <c r="Y78" s="319"/>
      <c r="Z78" s="319"/>
      <c r="AA78" s="319"/>
      <c r="AB78" s="289"/>
      <c r="AC78" s="288"/>
      <c r="AD78" s="273"/>
      <c r="AE78" s="273"/>
      <c r="AF78" s="235"/>
      <c r="AG78" s="235"/>
      <c r="AH78" s="288"/>
      <c r="AI78" s="288"/>
      <c r="AJ78" s="273"/>
      <c r="AK78" s="273"/>
      <c r="AL78" s="235"/>
      <c r="AM78" s="235"/>
      <c r="AN78" s="288"/>
      <c r="AO78" s="273"/>
      <c r="AP78" s="235"/>
      <c r="AS78" s="273"/>
      <c r="AT78" s="273"/>
      <c r="AU78" s="273"/>
      <c r="AV78" s="273"/>
      <c r="AW78" s="273"/>
      <c r="AX78" s="273"/>
      <c r="AY78" s="273"/>
      <c r="AZ78" s="23"/>
    </row>
    <row r="79" spans="1:78" s="51" customFormat="1" ht="15.75" customHeight="1" x14ac:dyDescent="0.15">
      <c r="A79" s="54"/>
      <c r="C79" s="426"/>
      <c r="D79" s="427"/>
      <c r="E79" s="427"/>
      <c r="F79" s="427"/>
      <c r="G79" s="427"/>
      <c r="H79" s="427"/>
      <c r="I79" s="428"/>
      <c r="J79" s="313" t="s">
        <v>110</v>
      </c>
      <c r="K79" s="313"/>
      <c r="L79" s="313" t="s">
        <v>345</v>
      </c>
      <c r="M79" s="313"/>
      <c r="N79" s="313" t="s">
        <v>275</v>
      </c>
      <c r="O79" s="313"/>
      <c r="P79" s="313" t="s">
        <v>110</v>
      </c>
      <c r="Q79" s="313"/>
      <c r="R79" s="313" t="s">
        <v>345</v>
      </c>
      <c r="S79" s="313"/>
      <c r="T79" s="313" t="s">
        <v>275</v>
      </c>
      <c r="U79" s="313"/>
      <c r="V79" s="313" t="s">
        <v>110</v>
      </c>
      <c r="W79" s="313"/>
      <c r="X79" s="313" t="s">
        <v>345</v>
      </c>
      <c r="Y79" s="313"/>
      <c r="Z79" s="313" t="s">
        <v>275</v>
      </c>
      <c r="AA79" s="313"/>
      <c r="AB79" s="289"/>
      <c r="AC79" s="288"/>
      <c r="AD79" s="273"/>
      <c r="AE79" s="273"/>
      <c r="AF79" s="235"/>
      <c r="AG79" s="235"/>
      <c r="AH79" s="288"/>
      <c r="AI79" s="288"/>
      <c r="AJ79" s="273"/>
      <c r="AK79" s="273"/>
      <c r="AL79" s="235"/>
      <c r="AM79" s="235"/>
      <c r="AN79" s="288"/>
      <c r="AO79" s="273"/>
      <c r="AP79" s="235"/>
      <c r="AS79" s="273"/>
      <c r="AT79" s="273"/>
      <c r="AU79" s="273"/>
      <c r="AV79" s="273"/>
      <c r="AW79" s="273"/>
      <c r="AX79" s="273"/>
      <c r="AY79" s="273"/>
      <c r="AZ79" s="23"/>
    </row>
    <row r="80" spans="1:78" s="51" customFormat="1" ht="15.75" customHeight="1" x14ac:dyDescent="0.15">
      <c r="A80" s="54"/>
      <c r="C80" s="426"/>
      <c r="D80" s="427"/>
      <c r="E80" s="427"/>
      <c r="F80" s="427"/>
      <c r="G80" s="427"/>
      <c r="H80" s="427"/>
      <c r="I80" s="428"/>
      <c r="J80" s="320"/>
      <c r="K80" s="320"/>
      <c r="L80" s="321"/>
      <c r="M80" s="321"/>
      <c r="N80" s="315" t="str">
        <f>IF(L80="〇",VALUE(2400),"")</f>
        <v/>
      </c>
      <c r="O80" s="315"/>
      <c r="P80" s="320"/>
      <c r="Q80" s="320"/>
      <c r="R80" s="321"/>
      <c r="S80" s="321"/>
      <c r="T80" s="315" t="str">
        <f>IF(R80="〇",VALUE(2400),"")</f>
        <v/>
      </c>
      <c r="U80" s="315"/>
      <c r="V80" s="320"/>
      <c r="W80" s="320"/>
      <c r="X80" s="321"/>
      <c r="Y80" s="321"/>
      <c r="Z80" s="315" t="str">
        <f t="shared" ref="Z80:Z81" si="1">IF(X80="〇",VALUE(2400),"")</f>
        <v/>
      </c>
      <c r="AA80" s="315"/>
      <c r="AB80" s="289"/>
      <c r="AC80" s="288"/>
      <c r="AD80" s="273"/>
      <c r="AE80" s="273"/>
      <c r="AF80" s="235"/>
      <c r="AG80" s="235"/>
      <c r="AH80" s="288"/>
      <c r="AI80" s="288"/>
      <c r="AJ80" s="273"/>
      <c r="AK80" s="273"/>
      <c r="AL80" s="235"/>
      <c r="AM80" s="235"/>
      <c r="AN80" s="288"/>
      <c r="AO80" s="273"/>
      <c r="AP80" s="235"/>
      <c r="AS80" s="273"/>
      <c r="AT80" s="273"/>
      <c r="AU80" s="273"/>
      <c r="AV80" s="273"/>
      <c r="AW80" s="273"/>
      <c r="AX80" s="273"/>
      <c r="AY80" s="273"/>
      <c r="AZ80" s="23"/>
    </row>
    <row r="81" spans="1:78" s="51" customFormat="1" ht="15.75" customHeight="1" x14ac:dyDescent="0.15">
      <c r="A81" s="54"/>
      <c r="C81" s="429"/>
      <c r="D81" s="430"/>
      <c r="E81" s="430"/>
      <c r="F81" s="430"/>
      <c r="G81" s="430"/>
      <c r="H81" s="430"/>
      <c r="I81" s="431"/>
      <c r="J81" s="320"/>
      <c r="K81" s="320"/>
      <c r="L81" s="321"/>
      <c r="M81" s="321"/>
      <c r="N81" s="315" t="str">
        <f>IF(L81="〇",VALUE(2400),"")</f>
        <v/>
      </c>
      <c r="O81" s="315"/>
      <c r="P81" s="320"/>
      <c r="Q81" s="320"/>
      <c r="R81" s="321"/>
      <c r="S81" s="321"/>
      <c r="T81" s="315" t="str">
        <f>IF(R81="〇",VALUE(2400),"")</f>
        <v/>
      </c>
      <c r="U81" s="315"/>
      <c r="V81" s="320"/>
      <c r="W81" s="320"/>
      <c r="X81" s="321"/>
      <c r="Y81" s="321"/>
      <c r="Z81" s="315" t="str">
        <f t="shared" si="1"/>
        <v/>
      </c>
      <c r="AA81" s="315"/>
      <c r="AB81" s="289"/>
      <c r="AC81" s="288"/>
      <c r="AD81" s="273"/>
      <c r="AE81" s="273"/>
      <c r="AF81" s="235"/>
      <c r="AG81" s="235"/>
      <c r="AH81" s="288"/>
      <c r="AI81" s="288"/>
      <c r="AJ81" s="273"/>
      <c r="AK81" s="273"/>
      <c r="AL81" s="235"/>
      <c r="AM81" s="235"/>
      <c r="AN81" s="288"/>
      <c r="AO81" s="273"/>
      <c r="AP81" s="235"/>
      <c r="AS81" s="273"/>
      <c r="AT81" s="273"/>
      <c r="AU81" s="273"/>
      <c r="AV81" s="273"/>
      <c r="AW81" s="273"/>
      <c r="AX81" s="273"/>
      <c r="AY81" s="273"/>
      <c r="AZ81" s="23"/>
    </row>
    <row r="82" spans="1:78" s="51" customFormat="1" ht="15.75" customHeight="1" x14ac:dyDescent="0.15">
      <c r="A82" s="54"/>
      <c r="C82" s="130"/>
      <c r="D82" s="131"/>
      <c r="E82" s="131"/>
      <c r="F82" s="131"/>
      <c r="G82" s="131"/>
      <c r="H82" s="131"/>
      <c r="I82" s="131"/>
      <c r="J82" s="319" t="s">
        <v>256</v>
      </c>
      <c r="K82" s="319"/>
      <c r="L82" s="319"/>
      <c r="M82" s="319"/>
      <c r="N82" s="319"/>
      <c r="O82" s="319"/>
      <c r="P82" s="319" t="s">
        <v>331</v>
      </c>
      <c r="Q82" s="319"/>
      <c r="R82" s="319"/>
      <c r="S82" s="319"/>
      <c r="T82" s="319"/>
      <c r="U82" s="319"/>
      <c r="V82" s="319" t="s">
        <v>302</v>
      </c>
      <c r="W82" s="319"/>
      <c r="X82" s="319"/>
      <c r="Y82" s="319"/>
      <c r="Z82" s="319"/>
      <c r="AA82" s="319"/>
      <c r="AB82" s="282"/>
      <c r="AC82" s="104"/>
      <c r="AD82" s="104"/>
      <c r="AE82" s="104"/>
      <c r="AF82" s="104"/>
      <c r="AG82" s="274"/>
      <c r="AH82" s="104"/>
      <c r="AI82" s="104"/>
      <c r="AJ82" s="104"/>
      <c r="AK82" s="104"/>
      <c r="AL82" s="104"/>
      <c r="AM82" s="274"/>
      <c r="AN82" s="104"/>
      <c r="AO82" s="104"/>
      <c r="AP82" s="104"/>
      <c r="AQ82" s="104"/>
      <c r="AR82" s="104"/>
      <c r="AS82" s="104"/>
      <c r="AT82" s="104"/>
      <c r="AU82" s="104"/>
      <c r="AV82" s="274"/>
      <c r="AW82" s="104"/>
      <c r="AX82" s="104"/>
      <c r="AY82" s="104"/>
      <c r="AZ82" s="23"/>
    </row>
    <row r="83" spans="1:78" s="51" customFormat="1" ht="15.75" customHeight="1" x14ac:dyDescent="0.15">
      <c r="A83" s="54"/>
      <c r="C83" s="446" t="s">
        <v>346</v>
      </c>
      <c r="D83" s="447"/>
      <c r="E83" s="447"/>
      <c r="F83" s="447"/>
      <c r="G83" s="447"/>
      <c r="H83" s="447"/>
      <c r="I83" s="448"/>
      <c r="J83" s="313" t="s">
        <v>347</v>
      </c>
      <c r="K83" s="313"/>
      <c r="L83" s="313" t="s">
        <v>348</v>
      </c>
      <c r="M83" s="313"/>
      <c r="N83" s="313" t="s">
        <v>275</v>
      </c>
      <c r="O83" s="313"/>
      <c r="P83" s="313" t="s">
        <v>347</v>
      </c>
      <c r="Q83" s="313"/>
      <c r="R83" s="313" t="s">
        <v>348</v>
      </c>
      <c r="S83" s="313"/>
      <c r="T83" s="313" t="s">
        <v>275</v>
      </c>
      <c r="U83" s="313"/>
      <c r="V83" s="313" t="s">
        <v>347</v>
      </c>
      <c r="W83" s="313"/>
      <c r="X83" s="313" t="s">
        <v>348</v>
      </c>
      <c r="Y83" s="313"/>
      <c r="Z83" s="313" t="s">
        <v>275</v>
      </c>
      <c r="AA83" s="313"/>
      <c r="AB83" s="242"/>
      <c r="AC83" s="273"/>
      <c r="AD83" s="273"/>
      <c r="AE83" s="273"/>
      <c r="AF83" s="273"/>
      <c r="AG83" s="273"/>
      <c r="AH83" s="273"/>
      <c r="AI83" s="273"/>
      <c r="AJ83" s="273"/>
      <c r="AK83" s="273"/>
      <c r="AL83" s="273"/>
      <c r="AM83" s="273"/>
      <c r="AN83" s="273"/>
      <c r="AO83" s="273"/>
      <c r="AP83" s="273"/>
      <c r="AV83" s="273"/>
      <c r="AZ83" s="23"/>
    </row>
    <row r="84" spans="1:78" s="51" customFormat="1" ht="15.75" customHeight="1" x14ac:dyDescent="0.15">
      <c r="A84" s="54"/>
      <c r="C84" s="449"/>
      <c r="D84" s="450"/>
      <c r="E84" s="450"/>
      <c r="F84" s="450"/>
      <c r="G84" s="450"/>
      <c r="H84" s="450"/>
      <c r="I84" s="451"/>
      <c r="J84" s="316"/>
      <c r="K84" s="317"/>
      <c r="L84" s="311"/>
      <c r="M84" s="311"/>
      <c r="N84" s="314" t="str">
        <f>IF(L84&lt;&gt;"",VLOOKUP(L84,リスト!$H$2:$I$7,2,FALSE),"")</f>
        <v/>
      </c>
      <c r="O84" s="314"/>
      <c r="P84" s="316"/>
      <c r="Q84" s="317"/>
      <c r="R84" s="311"/>
      <c r="S84" s="311"/>
      <c r="T84" s="314" t="str">
        <f>IF(R84&lt;&gt;"",VLOOKUP(R84,リスト!$H$2:$I$7,2,FALSE),"")</f>
        <v/>
      </c>
      <c r="U84" s="314"/>
      <c r="V84" s="316"/>
      <c r="W84" s="317"/>
      <c r="X84" s="311"/>
      <c r="Y84" s="311"/>
      <c r="Z84" s="314" t="str">
        <f>IF(X84&lt;&gt;"",VLOOKUP(X84,リスト!$H$2:$I$7,2,FALSE),"")</f>
        <v/>
      </c>
      <c r="AA84" s="314"/>
      <c r="AB84" s="289"/>
      <c r="AC84" s="288"/>
      <c r="AD84" s="101"/>
      <c r="AE84" s="101"/>
      <c r="AF84" s="236"/>
      <c r="AG84" s="236"/>
      <c r="AH84" s="288"/>
      <c r="AI84" s="288"/>
      <c r="AJ84" s="101"/>
      <c r="AK84" s="101"/>
      <c r="AL84" s="236"/>
      <c r="AM84" s="236"/>
      <c r="AN84" s="288"/>
      <c r="AO84" s="101"/>
      <c r="AP84" s="236"/>
      <c r="AQ84" s="101"/>
      <c r="AV84" s="273"/>
      <c r="AZ84" s="23"/>
    </row>
    <row r="85" spans="1:78" s="51" customFormat="1" ht="15.75" customHeight="1" x14ac:dyDescent="0.15">
      <c r="A85" s="54"/>
      <c r="C85" s="449"/>
      <c r="D85" s="450"/>
      <c r="E85" s="450"/>
      <c r="F85" s="450"/>
      <c r="G85" s="450"/>
      <c r="H85" s="450"/>
      <c r="I85" s="451"/>
      <c r="J85" s="320"/>
      <c r="K85" s="320"/>
      <c r="L85" s="312"/>
      <c r="M85" s="312"/>
      <c r="N85" s="314" t="str">
        <f>IF(L85&lt;&gt;"",VLOOKUP(L85,リスト!$H$2:$I$7,2,FALSE),"")</f>
        <v/>
      </c>
      <c r="O85" s="314"/>
      <c r="P85" s="320"/>
      <c r="Q85" s="320"/>
      <c r="R85" s="312"/>
      <c r="S85" s="312"/>
      <c r="T85" s="315" t="str">
        <f>IF(R85&lt;&gt;"",VLOOKUP(R85,リスト!$H$2:$I$7,2,FALSE),"")</f>
        <v/>
      </c>
      <c r="U85" s="315"/>
      <c r="V85" s="320"/>
      <c r="W85" s="320"/>
      <c r="X85" s="312"/>
      <c r="Y85" s="312"/>
      <c r="Z85" s="315" t="str">
        <f>IF(X85&lt;&gt;"",VLOOKUP(X85,リスト!$H$2:$I$7,2,FALSE),"")</f>
        <v/>
      </c>
      <c r="AA85" s="315"/>
      <c r="AB85" s="290"/>
      <c r="AC85" s="286"/>
      <c r="AF85" s="235"/>
      <c r="AG85" s="235"/>
      <c r="AH85" s="286"/>
      <c r="AI85" s="286"/>
      <c r="AL85" s="235"/>
      <c r="AM85" s="235"/>
      <c r="AN85" s="286"/>
      <c r="AP85" s="235"/>
      <c r="AV85" s="273"/>
      <c r="AZ85" s="23"/>
    </row>
    <row r="86" spans="1:78" s="51" customFormat="1" ht="15.75" customHeight="1" x14ac:dyDescent="0.15">
      <c r="A86" s="54"/>
      <c r="C86" s="449"/>
      <c r="D86" s="450"/>
      <c r="E86" s="450"/>
      <c r="F86" s="450"/>
      <c r="G86" s="450"/>
      <c r="H86" s="450"/>
      <c r="I86" s="451"/>
      <c r="J86" s="319" t="s">
        <v>303</v>
      </c>
      <c r="K86" s="319"/>
      <c r="L86" s="319"/>
      <c r="M86" s="319"/>
      <c r="N86" s="319"/>
      <c r="O86" s="319"/>
      <c r="P86" s="319" t="s">
        <v>305</v>
      </c>
      <c r="Q86" s="319"/>
      <c r="R86" s="319"/>
      <c r="S86" s="319"/>
      <c r="T86" s="319"/>
      <c r="U86" s="319"/>
      <c r="V86" s="319" t="s">
        <v>308</v>
      </c>
      <c r="W86" s="319"/>
      <c r="X86" s="319"/>
      <c r="Y86" s="319"/>
      <c r="Z86" s="319"/>
      <c r="AA86" s="319"/>
      <c r="AB86" s="290"/>
      <c r="AC86" s="286"/>
      <c r="AF86" s="235"/>
      <c r="AG86" s="235"/>
      <c r="AH86" s="286"/>
      <c r="AI86" s="286"/>
      <c r="AL86" s="235"/>
      <c r="AM86" s="235"/>
      <c r="AN86" s="286"/>
      <c r="AP86" s="235"/>
      <c r="AS86" s="273"/>
      <c r="AT86" s="273"/>
      <c r="AU86" s="273"/>
      <c r="AV86" s="273"/>
      <c r="AW86" s="273"/>
      <c r="AX86" s="273"/>
      <c r="AY86" s="273"/>
      <c r="AZ86" s="23"/>
    </row>
    <row r="87" spans="1:78" s="51" customFormat="1" ht="15.75" customHeight="1" x14ac:dyDescent="0.15">
      <c r="A87" s="54"/>
      <c r="C87" s="449"/>
      <c r="D87" s="450"/>
      <c r="E87" s="450"/>
      <c r="F87" s="450"/>
      <c r="G87" s="450"/>
      <c r="H87" s="450"/>
      <c r="I87" s="451"/>
      <c r="J87" s="313" t="s">
        <v>347</v>
      </c>
      <c r="K87" s="313"/>
      <c r="L87" s="313" t="s">
        <v>348</v>
      </c>
      <c r="M87" s="313"/>
      <c r="N87" s="313" t="s">
        <v>275</v>
      </c>
      <c r="O87" s="313"/>
      <c r="P87" s="313" t="s">
        <v>347</v>
      </c>
      <c r="Q87" s="313"/>
      <c r="R87" s="313" t="s">
        <v>348</v>
      </c>
      <c r="S87" s="313"/>
      <c r="T87" s="313" t="s">
        <v>275</v>
      </c>
      <c r="U87" s="313"/>
      <c r="V87" s="313" t="s">
        <v>347</v>
      </c>
      <c r="W87" s="313"/>
      <c r="X87" s="313" t="s">
        <v>348</v>
      </c>
      <c r="Y87" s="313"/>
      <c r="Z87" s="313" t="s">
        <v>275</v>
      </c>
      <c r="AA87" s="313"/>
      <c r="AB87" s="290"/>
      <c r="AC87" s="286"/>
      <c r="AF87" s="235"/>
      <c r="AG87" s="235"/>
      <c r="AH87" s="286"/>
      <c r="AI87" s="286"/>
      <c r="AL87" s="235"/>
      <c r="AM87" s="235"/>
      <c r="AN87" s="286"/>
      <c r="AP87" s="235"/>
      <c r="AS87" s="273"/>
      <c r="AT87" s="273"/>
      <c r="AU87" s="273"/>
      <c r="AV87" s="273"/>
      <c r="AW87" s="273"/>
      <c r="AX87" s="273"/>
      <c r="AY87" s="273"/>
      <c r="AZ87" s="23"/>
    </row>
    <row r="88" spans="1:78" s="51" customFormat="1" ht="15.75" customHeight="1" x14ac:dyDescent="0.15">
      <c r="A88" s="54"/>
      <c r="C88" s="449"/>
      <c r="D88" s="450"/>
      <c r="E88" s="450"/>
      <c r="F88" s="450"/>
      <c r="G88" s="450"/>
      <c r="H88" s="450"/>
      <c r="I88" s="451"/>
      <c r="J88" s="316"/>
      <c r="K88" s="317"/>
      <c r="L88" s="311"/>
      <c r="M88" s="311"/>
      <c r="N88" s="314" t="str">
        <f>IF(L88&lt;&gt;"",VLOOKUP(L88,リスト!$H$2:$I$7,2,FALSE),"")</f>
        <v/>
      </c>
      <c r="O88" s="314"/>
      <c r="P88" s="316"/>
      <c r="Q88" s="317"/>
      <c r="R88" s="311"/>
      <c r="S88" s="311"/>
      <c r="T88" s="314" t="str">
        <f>IF(R88&lt;&gt;"",VLOOKUP(R88,リスト!$H$2:$I$7,2,FALSE),"")</f>
        <v/>
      </c>
      <c r="U88" s="314"/>
      <c r="V88" s="316"/>
      <c r="W88" s="317"/>
      <c r="X88" s="311"/>
      <c r="Y88" s="311"/>
      <c r="Z88" s="314" t="str">
        <f>IF(X88&lt;&gt;"",VLOOKUP(X88,リスト!$H$2:$I$7,2,FALSE),"")</f>
        <v/>
      </c>
      <c r="AA88" s="314"/>
      <c r="AB88" s="290"/>
      <c r="AC88" s="286"/>
      <c r="AF88" s="235"/>
      <c r="AG88" s="235"/>
      <c r="AH88" s="286"/>
      <c r="AI88" s="286"/>
      <c r="AL88" s="235"/>
      <c r="AM88" s="235"/>
      <c r="AN88" s="286"/>
      <c r="AP88" s="235"/>
      <c r="AS88" s="273"/>
      <c r="AT88" s="273"/>
      <c r="AU88" s="273"/>
      <c r="AV88" s="273"/>
      <c r="AW88" s="273"/>
      <c r="AX88" s="273"/>
      <c r="AY88" s="273"/>
      <c r="AZ88" s="23"/>
    </row>
    <row r="89" spans="1:78" s="51" customFormat="1" ht="15.75" customHeight="1" x14ac:dyDescent="0.15">
      <c r="A89" s="54"/>
      <c r="C89" s="452"/>
      <c r="D89" s="453"/>
      <c r="E89" s="453"/>
      <c r="F89" s="453"/>
      <c r="G89" s="453"/>
      <c r="H89" s="453"/>
      <c r="I89" s="454"/>
      <c r="J89" s="318"/>
      <c r="K89" s="318"/>
      <c r="L89" s="312"/>
      <c r="M89" s="312"/>
      <c r="N89" s="315" t="str">
        <f>IF(L89&lt;&gt;"",VLOOKUP(L89,リスト!$H$2:$I$7,2,FALSE),"")</f>
        <v/>
      </c>
      <c r="O89" s="315"/>
      <c r="P89" s="318"/>
      <c r="Q89" s="318"/>
      <c r="R89" s="312"/>
      <c r="S89" s="312"/>
      <c r="T89" s="315" t="str">
        <f>IF(R89&lt;&gt;"",VLOOKUP(R89,リスト!$H$2:$I$7,2,FALSE),"")</f>
        <v/>
      </c>
      <c r="U89" s="315"/>
      <c r="V89" s="318"/>
      <c r="W89" s="318"/>
      <c r="X89" s="312"/>
      <c r="Y89" s="312"/>
      <c r="Z89" s="315" t="str">
        <f>IF(X89&lt;&gt;"",VLOOKUP(X89,リスト!$H$2:$I$7,2,FALSE),"")</f>
        <v/>
      </c>
      <c r="AA89" s="315"/>
      <c r="AB89" s="290"/>
      <c r="AC89" s="286"/>
      <c r="AF89" s="235"/>
      <c r="AG89" s="235"/>
      <c r="AH89" s="286"/>
      <c r="AI89" s="286"/>
      <c r="AL89" s="235"/>
      <c r="AM89" s="235"/>
      <c r="AN89" s="286"/>
      <c r="AP89" s="235"/>
      <c r="AS89" s="273"/>
      <c r="AT89" s="273"/>
      <c r="AU89" s="273"/>
      <c r="AV89" s="273"/>
      <c r="AW89" s="273"/>
      <c r="AX89" s="273"/>
      <c r="AY89" s="273"/>
      <c r="AZ89" s="23"/>
    </row>
    <row r="90" spans="1:78" ht="15.75" x14ac:dyDescent="0.15">
      <c r="A90" s="48"/>
      <c r="C90" s="132"/>
      <c r="D90" s="133"/>
      <c r="E90" s="133"/>
      <c r="F90" s="133"/>
      <c r="G90" s="133"/>
      <c r="H90" s="133"/>
      <c r="I90" s="133"/>
      <c r="J90" s="104"/>
      <c r="K90" s="104"/>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2"/>
      <c r="AQ90" s="52"/>
      <c r="AR90" s="52"/>
      <c r="AS90" s="52"/>
      <c r="AT90" s="52"/>
      <c r="AU90" s="52"/>
      <c r="AV90" s="52"/>
      <c r="AW90" s="52"/>
      <c r="AX90" s="52"/>
      <c r="AY90" s="52"/>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1"/>
    </row>
    <row r="91" spans="1:78" ht="15.75" x14ac:dyDescent="0.15">
      <c r="A91" s="48"/>
      <c r="C91" s="115" t="s">
        <v>323</v>
      </c>
      <c r="D91" s="114"/>
      <c r="E91" s="114"/>
      <c r="F91" s="114"/>
      <c r="G91" s="114"/>
      <c r="H91" s="114"/>
      <c r="I91" s="114"/>
      <c r="J91" s="114"/>
      <c r="K91" s="114"/>
      <c r="L91" s="114"/>
      <c r="M91" s="114"/>
      <c r="N91" s="114"/>
      <c r="O91" s="114"/>
      <c r="P91" s="114"/>
      <c r="Q91" s="114"/>
      <c r="R91" s="114"/>
      <c r="S91" s="114"/>
      <c r="T91" s="114"/>
      <c r="U91" s="114"/>
      <c r="V91" s="114"/>
      <c r="W91" s="114"/>
      <c r="X91" s="114"/>
      <c r="Y91" s="114"/>
      <c r="Z91" s="114"/>
      <c r="AA91" s="253"/>
      <c r="AB91" s="258"/>
      <c r="AC91" s="133"/>
      <c r="AD91" s="133"/>
      <c r="AE91" s="133"/>
      <c r="AF91" s="133"/>
      <c r="AG91" s="51"/>
      <c r="AH91" s="51"/>
      <c r="AI91" s="51"/>
      <c r="AJ91" s="51"/>
      <c r="AK91" s="51"/>
      <c r="AL91" s="51"/>
      <c r="AM91" s="51"/>
      <c r="AN91" s="51"/>
      <c r="AO91" s="51"/>
      <c r="AP91" s="56"/>
      <c r="AQ91" s="107"/>
      <c r="AR91" s="107"/>
      <c r="AS91" s="107"/>
      <c r="AT91" s="107"/>
      <c r="AU91" s="107"/>
      <c r="AV91" s="51"/>
      <c r="AW91" s="51"/>
      <c r="AX91" s="51"/>
      <c r="AY91" s="51"/>
      <c r="AZ91" s="107"/>
      <c r="BA91" s="51"/>
      <c r="BB91" s="51"/>
      <c r="BC91" s="51"/>
      <c r="BD91" s="51"/>
      <c r="BE91" s="51"/>
      <c r="BF91" s="51"/>
      <c r="BG91" s="51"/>
      <c r="BH91" s="51"/>
      <c r="BI91" s="51"/>
      <c r="BJ91" s="51"/>
      <c r="BK91" s="51"/>
      <c r="BL91" s="51"/>
      <c r="BM91" s="51"/>
      <c r="BN91" s="51"/>
      <c r="BO91" s="51"/>
      <c r="BP91" s="51"/>
      <c r="BQ91" s="51"/>
      <c r="BR91" s="51"/>
      <c r="BS91" s="51"/>
      <c r="BT91" s="51"/>
      <c r="BU91" s="51"/>
      <c r="BV91" s="51"/>
      <c r="BW91" s="51"/>
      <c r="BX91" s="51"/>
      <c r="BY91" s="51"/>
      <c r="BZ91" s="51"/>
    </row>
    <row r="92" spans="1:78" s="51" customFormat="1" ht="16.5" x14ac:dyDescent="0.15">
      <c r="A92" s="89"/>
      <c r="C92" s="134" t="s">
        <v>324</v>
      </c>
      <c r="AA92" s="256"/>
      <c r="AB92" s="54"/>
      <c r="AP92" s="56"/>
      <c r="AQ92" s="107"/>
      <c r="AR92" s="107"/>
      <c r="AS92" s="107"/>
      <c r="AT92" s="107"/>
      <c r="AU92" s="107"/>
      <c r="AZ92" s="107"/>
    </row>
    <row r="93" spans="1:78" s="51" customFormat="1" ht="15.75" x14ac:dyDescent="0.15">
      <c r="A93" s="54"/>
      <c r="C93" s="54" t="s">
        <v>329</v>
      </c>
      <c r="AA93" s="256"/>
      <c r="AB93" s="54"/>
      <c r="AP93" s="56"/>
      <c r="AQ93" s="107"/>
      <c r="AR93" s="107"/>
      <c r="AS93" s="107"/>
      <c r="AT93" s="107"/>
      <c r="AU93" s="107"/>
      <c r="AZ93" s="107"/>
    </row>
    <row r="94" spans="1:78" ht="15.75" x14ac:dyDescent="0.15">
      <c r="A94" s="48"/>
      <c r="C94" s="54" t="s">
        <v>341</v>
      </c>
      <c r="D94" s="51"/>
      <c r="E94" s="51"/>
      <c r="F94" s="51"/>
      <c r="G94" s="51"/>
      <c r="H94" s="51"/>
      <c r="I94" s="51"/>
      <c r="J94" s="51"/>
      <c r="K94" s="51"/>
      <c r="L94" s="51"/>
      <c r="M94" s="51"/>
      <c r="N94" s="51"/>
      <c r="O94" s="51"/>
      <c r="P94" s="51"/>
      <c r="Q94" s="51"/>
      <c r="R94" s="51"/>
      <c r="S94" s="51"/>
      <c r="T94" s="51"/>
      <c r="U94" s="51"/>
      <c r="V94" s="51"/>
      <c r="W94" s="51"/>
      <c r="X94" s="51"/>
      <c r="Y94" s="51"/>
      <c r="Z94" s="51"/>
      <c r="AA94" s="256"/>
      <c r="AB94" s="54"/>
      <c r="AC94" s="51"/>
      <c r="AD94" s="51"/>
      <c r="AE94" s="51"/>
      <c r="AF94" s="51"/>
      <c r="AG94" s="51"/>
      <c r="AH94" s="51"/>
      <c r="AI94" s="51"/>
      <c r="AJ94" s="51"/>
      <c r="AK94" s="51"/>
      <c r="AL94" s="51"/>
      <c r="AM94" s="51"/>
      <c r="AN94" s="51"/>
      <c r="AO94" s="51"/>
      <c r="AP94" s="56"/>
      <c r="AQ94" s="107"/>
      <c r="AR94" s="107"/>
      <c r="AS94" s="107"/>
      <c r="AT94" s="107"/>
      <c r="AU94" s="107"/>
      <c r="AV94" s="51"/>
      <c r="AW94" s="51"/>
      <c r="AX94" s="51"/>
      <c r="AY94" s="51"/>
      <c r="AZ94" s="107"/>
      <c r="BA94" s="51"/>
      <c r="BB94" s="51"/>
      <c r="BC94" s="51"/>
      <c r="BD94" s="51"/>
      <c r="BE94" s="51"/>
      <c r="BF94" s="51"/>
      <c r="BG94" s="51"/>
      <c r="BH94" s="51"/>
      <c r="BI94" s="51"/>
      <c r="BJ94" s="51"/>
      <c r="BK94" s="51"/>
      <c r="BL94" s="51"/>
      <c r="BM94" s="51"/>
      <c r="BN94" s="51"/>
    </row>
    <row r="95" spans="1:78" ht="15.75" x14ac:dyDescent="0.15">
      <c r="A95" s="48"/>
      <c r="C95" s="54" t="s">
        <v>325</v>
      </c>
      <c r="D95" s="51"/>
      <c r="E95" s="51"/>
      <c r="F95" s="51"/>
      <c r="G95" s="51"/>
      <c r="H95" s="51"/>
      <c r="I95" s="51"/>
      <c r="J95" s="51"/>
      <c r="K95" s="51"/>
      <c r="L95" s="51"/>
      <c r="M95" s="51"/>
      <c r="N95" s="51"/>
      <c r="O95" s="51"/>
      <c r="P95" s="51"/>
      <c r="Q95" s="51"/>
      <c r="R95" s="51"/>
      <c r="S95" s="51"/>
      <c r="T95" s="51"/>
      <c r="U95" s="51"/>
      <c r="V95" s="51"/>
      <c r="W95" s="51"/>
      <c r="X95" s="51"/>
      <c r="Y95" s="51"/>
      <c r="Z95" s="51"/>
      <c r="AA95" s="256"/>
      <c r="AB95" s="54"/>
      <c r="AC95" s="51"/>
      <c r="AD95" s="51"/>
      <c r="AE95" s="51"/>
      <c r="AF95" s="51"/>
      <c r="AG95" s="51"/>
      <c r="AH95" s="51"/>
      <c r="AI95" s="51"/>
      <c r="AJ95" s="51"/>
      <c r="AK95" s="51"/>
      <c r="AL95" s="51"/>
      <c r="AM95" s="51"/>
      <c r="AN95" s="51"/>
      <c r="AO95" s="51"/>
      <c r="AP95" s="56"/>
      <c r="AQ95" s="107"/>
      <c r="AR95" s="107"/>
      <c r="AS95" s="107"/>
      <c r="AT95" s="107"/>
      <c r="AU95" s="107"/>
      <c r="AV95" s="51"/>
      <c r="AW95" s="51"/>
      <c r="AX95" s="51"/>
      <c r="AY95" s="51"/>
      <c r="AZ95" s="107"/>
      <c r="BA95" s="273"/>
      <c r="BB95" s="273"/>
      <c r="BC95" s="273"/>
      <c r="BD95" s="51"/>
      <c r="BE95" s="51"/>
      <c r="BF95" s="51"/>
      <c r="BG95" s="51"/>
      <c r="BH95" s="51"/>
      <c r="BI95" s="51"/>
      <c r="BJ95" s="51"/>
      <c r="BK95" s="51"/>
      <c r="BL95" s="51"/>
      <c r="BM95" s="51"/>
      <c r="BN95" s="51"/>
      <c r="BO95" s="51"/>
    </row>
    <row r="96" spans="1:78" ht="15.75" x14ac:dyDescent="0.15">
      <c r="A96" s="48"/>
      <c r="C96" s="54" t="s">
        <v>349</v>
      </c>
      <c r="D96" s="51"/>
      <c r="E96" s="51"/>
      <c r="F96" s="51"/>
      <c r="G96" s="51"/>
      <c r="H96" s="51"/>
      <c r="I96" s="51"/>
      <c r="J96" s="51"/>
      <c r="K96" s="51"/>
      <c r="L96" s="51"/>
      <c r="M96" s="51"/>
      <c r="N96" s="51"/>
      <c r="O96" s="51"/>
      <c r="P96" s="51"/>
      <c r="Q96" s="51"/>
      <c r="R96" s="51"/>
      <c r="S96" s="51"/>
      <c r="T96" s="51"/>
      <c r="U96" s="51"/>
      <c r="V96" s="51"/>
      <c r="W96" s="51"/>
      <c r="X96" s="51"/>
      <c r="Y96" s="51"/>
      <c r="Z96" s="51"/>
      <c r="AA96" s="257"/>
      <c r="AB96" s="54"/>
      <c r="AC96" s="51"/>
      <c r="AD96" s="51"/>
      <c r="AE96" s="51"/>
      <c r="AF96" s="51"/>
      <c r="AG96" s="51"/>
      <c r="AH96" s="51"/>
      <c r="AI96" s="51"/>
      <c r="AJ96" s="51"/>
      <c r="AK96" s="51"/>
      <c r="AL96" s="51"/>
      <c r="AM96" s="51"/>
      <c r="AN96" s="51"/>
      <c r="AO96" s="51"/>
      <c r="AP96" s="56"/>
      <c r="AQ96" s="107"/>
      <c r="AR96" s="107"/>
      <c r="AS96" s="107"/>
      <c r="AT96" s="107"/>
      <c r="AU96" s="107"/>
      <c r="AV96" s="51"/>
      <c r="AW96" s="51"/>
      <c r="AX96" s="51"/>
      <c r="AY96" s="51"/>
      <c r="AZ96" s="107"/>
      <c r="BA96" s="273"/>
      <c r="BB96" s="273"/>
      <c r="BC96" s="273"/>
      <c r="BD96" s="51"/>
      <c r="BE96" s="52"/>
      <c r="BF96" s="52"/>
      <c r="BG96" s="52"/>
      <c r="BH96" s="52"/>
      <c r="BI96" s="52"/>
      <c r="BJ96" s="52"/>
      <c r="BK96" s="52"/>
      <c r="BL96" s="52"/>
      <c r="BM96" s="52"/>
      <c r="BN96" s="52"/>
      <c r="BO96" s="51"/>
    </row>
    <row r="97" spans="1:78" ht="15.75" x14ac:dyDescent="0.15">
      <c r="A97" s="48"/>
      <c r="C97" s="438"/>
      <c r="D97" s="416" t="s">
        <v>321</v>
      </c>
      <c r="E97" s="416"/>
      <c r="F97" s="416"/>
      <c r="G97" s="416"/>
      <c r="H97" s="416"/>
      <c r="I97" s="416"/>
      <c r="J97" s="416"/>
      <c r="K97" s="416"/>
      <c r="L97" s="407" t="s">
        <v>314</v>
      </c>
      <c r="M97" s="408"/>
      <c r="N97" s="408"/>
      <c r="O97" s="408"/>
      <c r="P97" s="408"/>
      <c r="Q97" s="408"/>
      <c r="R97" s="408"/>
      <c r="S97" s="420"/>
      <c r="T97" s="407" t="s">
        <v>302</v>
      </c>
      <c r="U97" s="408"/>
      <c r="V97" s="408"/>
      <c r="W97" s="408"/>
      <c r="X97" s="408"/>
      <c r="Y97" s="408"/>
      <c r="Z97" s="408"/>
      <c r="AA97" s="420"/>
      <c r="AB97" s="116"/>
      <c r="AC97" s="85"/>
      <c r="AD97" s="85"/>
      <c r="AE97" s="85"/>
      <c r="AF97" s="85"/>
      <c r="AG97" s="272"/>
      <c r="AH97" s="85"/>
      <c r="AI97" s="85"/>
      <c r="AJ97" s="85"/>
      <c r="AK97" s="85"/>
      <c r="AL97" s="85"/>
      <c r="AM97" s="85"/>
      <c r="AN97" s="85"/>
      <c r="AO97" s="85"/>
      <c r="AP97" s="85"/>
      <c r="AQ97" s="85"/>
      <c r="AR97" s="85"/>
      <c r="AS97" s="85"/>
      <c r="AT97" s="85"/>
      <c r="AU97" s="85"/>
      <c r="AV97" s="85"/>
      <c r="AW97" s="85"/>
      <c r="AX97" s="85"/>
      <c r="AY97" s="85"/>
      <c r="AZ97" s="51"/>
      <c r="BA97" s="272"/>
      <c r="BB97" s="272"/>
      <c r="BC97" s="85"/>
      <c r="BD97" s="85"/>
      <c r="BE97" s="85"/>
      <c r="BF97" s="272"/>
      <c r="BG97" s="272"/>
      <c r="BH97" s="272"/>
      <c r="BI97" s="272"/>
      <c r="BJ97" s="272"/>
      <c r="BK97" s="272"/>
      <c r="BL97" s="272"/>
      <c r="BM97" s="272"/>
      <c r="BN97" s="272"/>
      <c r="BO97" s="51"/>
      <c r="BP97" s="151"/>
      <c r="BQ97" s="151"/>
      <c r="BR97" s="151"/>
      <c r="BS97" s="151"/>
      <c r="BT97" s="151"/>
      <c r="BU97" s="151"/>
      <c r="BV97" s="151"/>
      <c r="BW97" s="151"/>
      <c r="BX97" s="151"/>
      <c r="BY97" s="151"/>
      <c r="BZ97" s="151"/>
    </row>
    <row r="98" spans="1:78" ht="15.75" x14ac:dyDescent="0.15">
      <c r="A98" s="48"/>
      <c r="C98" s="439"/>
      <c r="D98" s="409" t="s">
        <v>300</v>
      </c>
      <c r="E98" s="409"/>
      <c r="F98" s="409"/>
      <c r="G98" s="409"/>
      <c r="H98" s="409"/>
      <c r="I98" s="409" t="s">
        <v>293</v>
      </c>
      <c r="J98" s="409"/>
      <c r="K98" s="409"/>
      <c r="L98" s="417" t="s">
        <v>300</v>
      </c>
      <c r="M98" s="418"/>
      <c r="N98" s="418"/>
      <c r="O98" s="418"/>
      <c r="P98" s="419"/>
      <c r="Q98" s="417" t="s">
        <v>293</v>
      </c>
      <c r="R98" s="418"/>
      <c r="S98" s="419"/>
      <c r="T98" s="417" t="s">
        <v>300</v>
      </c>
      <c r="U98" s="418"/>
      <c r="V98" s="418"/>
      <c r="W98" s="418"/>
      <c r="X98" s="419"/>
      <c r="Y98" s="417" t="s">
        <v>293</v>
      </c>
      <c r="Z98" s="418"/>
      <c r="AA98" s="419"/>
      <c r="AB98" s="254"/>
      <c r="AC98" s="275"/>
      <c r="AD98" s="246"/>
      <c r="AE98" s="246"/>
      <c r="AF98" s="246"/>
      <c r="AG98" s="275"/>
      <c r="AH98" s="246"/>
      <c r="AI98" s="246"/>
      <c r="AJ98" s="246"/>
      <c r="AK98" s="246"/>
      <c r="AL98" s="246"/>
      <c r="AM98" s="275"/>
      <c r="AN98" s="246"/>
      <c r="AO98" s="246"/>
      <c r="AP98" s="246"/>
      <c r="AQ98" s="246"/>
      <c r="AR98" s="246"/>
      <c r="AS98" s="246"/>
      <c r="AT98" s="246"/>
      <c r="AU98" s="246"/>
      <c r="AV98" s="246"/>
      <c r="AW98" s="246"/>
      <c r="AX98" s="246"/>
      <c r="AY98" s="246"/>
      <c r="AZ98" s="51"/>
      <c r="BA98" s="272"/>
      <c r="BB98" s="272"/>
      <c r="BC98" s="102"/>
      <c r="BD98" s="85"/>
      <c r="BE98" s="85"/>
      <c r="BF98" s="102"/>
      <c r="BG98" s="272"/>
      <c r="BH98" s="272"/>
      <c r="BI98" s="102"/>
      <c r="BJ98" s="272"/>
      <c r="BK98" s="272"/>
      <c r="BL98" s="102"/>
      <c r="BM98" s="272"/>
      <c r="BN98" s="272"/>
      <c r="BO98" s="102"/>
      <c r="BP98" s="272"/>
      <c r="BQ98" s="272"/>
      <c r="BR98" s="102"/>
      <c r="BS98" s="272"/>
      <c r="BT98" s="272"/>
      <c r="BU98" s="102"/>
      <c r="BV98" s="272"/>
      <c r="BW98" s="272"/>
      <c r="BX98" s="102"/>
      <c r="BY98" s="272"/>
      <c r="BZ98" s="272"/>
    </row>
    <row r="99" spans="1:78" ht="15.75" x14ac:dyDescent="0.15">
      <c r="A99" s="48"/>
      <c r="C99" s="440"/>
      <c r="D99" s="400" t="s">
        <v>110</v>
      </c>
      <c r="E99" s="401"/>
      <c r="F99" s="276" t="s">
        <v>304</v>
      </c>
      <c r="G99" s="401" t="s">
        <v>301</v>
      </c>
      <c r="H99" s="404"/>
      <c r="I99" s="400" t="s">
        <v>348</v>
      </c>
      <c r="J99" s="401"/>
      <c r="K99" s="277" t="s">
        <v>275</v>
      </c>
      <c r="L99" s="400" t="s">
        <v>110</v>
      </c>
      <c r="M99" s="401"/>
      <c r="N99" s="276" t="s">
        <v>304</v>
      </c>
      <c r="O99" s="401" t="s">
        <v>301</v>
      </c>
      <c r="P99" s="404"/>
      <c r="Q99" s="400" t="s">
        <v>348</v>
      </c>
      <c r="R99" s="401"/>
      <c r="S99" s="277" t="s">
        <v>275</v>
      </c>
      <c r="T99" s="400" t="s">
        <v>110</v>
      </c>
      <c r="U99" s="401"/>
      <c r="V99" s="276" t="s">
        <v>304</v>
      </c>
      <c r="W99" s="401" t="s">
        <v>301</v>
      </c>
      <c r="X99" s="404"/>
      <c r="Y99" s="421" t="s">
        <v>348</v>
      </c>
      <c r="Z99" s="422"/>
      <c r="AA99" s="277" t="s">
        <v>275</v>
      </c>
      <c r="AB99" s="242"/>
      <c r="AC99" s="273"/>
      <c r="AD99" s="273"/>
      <c r="AE99" s="273"/>
      <c r="AF99" s="273"/>
      <c r="AG99" s="273"/>
      <c r="AH99" s="273"/>
      <c r="AI99" s="273"/>
      <c r="AJ99" s="273"/>
      <c r="AK99" s="273"/>
      <c r="AL99" s="273"/>
      <c r="AM99" s="273"/>
      <c r="AN99" s="273"/>
      <c r="AO99" s="273"/>
      <c r="AP99" s="273"/>
      <c r="AQ99" s="273"/>
      <c r="AR99" s="273"/>
      <c r="AS99" s="273"/>
      <c r="AT99" s="273"/>
      <c r="AU99" s="273"/>
      <c r="AV99" s="273"/>
      <c r="AW99" s="273"/>
      <c r="AX99" s="273"/>
      <c r="AY99" s="273"/>
      <c r="AZ99" s="51"/>
      <c r="BA99" s="273"/>
      <c r="BB99" s="273"/>
      <c r="BC99" s="273"/>
      <c r="BD99" s="273"/>
      <c r="BE99" s="273"/>
      <c r="BF99" s="273"/>
      <c r="BG99" s="273"/>
      <c r="BH99" s="273"/>
      <c r="BI99" s="273"/>
      <c r="BJ99" s="273"/>
      <c r="BK99" s="273"/>
      <c r="BL99" s="273"/>
      <c r="BM99" s="273"/>
      <c r="BN99" s="273"/>
      <c r="BO99" s="273"/>
      <c r="BP99" s="273"/>
      <c r="BQ99" s="273"/>
      <c r="BR99" s="273"/>
      <c r="BS99" s="273"/>
      <c r="BT99" s="273"/>
      <c r="BU99" s="273"/>
      <c r="BV99" s="273"/>
      <c r="BW99" s="273"/>
      <c r="BX99" s="273"/>
      <c r="BY99" s="273"/>
      <c r="BZ99" s="273"/>
    </row>
    <row r="100" spans="1:78" ht="15.75" x14ac:dyDescent="0.15">
      <c r="A100" s="48"/>
      <c r="B100" s="247"/>
      <c r="C100" s="100" t="s">
        <v>297</v>
      </c>
      <c r="D100" s="402"/>
      <c r="E100" s="403"/>
      <c r="F100" s="152"/>
      <c r="G100" s="405"/>
      <c r="H100" s="406"/>
      <c r="I100" s="414"/>
      <c r="J100" s="415"/>
      <c r="K100" s="143" t="str">
        <f>IF(I100&lt;&gt;"",VLOOKUP(I100,リスト!$H$2:$I$7,2,FALSE),"")</f>
        <v/>
      </c>
      <c r="L100" s="402"/>
      <c r="M100" s="403"/>
      <c r="N100" s="152"/>
      <c r="O100" s="405"/>
      <c r="P100" s="406"/>
      <c r="Q100" s="414"/>
      <c r="R100" s="415"/>
      <c r="S100" s="143" t="str">
        <f>IF(Q100&lt;&gt;"",VLOOKUP(Q100,リスト!$H$2:$I$7,2,FALSE),"")</f>
        <v/>
      </c>
      <c r="T100" s="402"/>
      <c r="U100" s="403"/>
      <c r="V100" s="152"/>
      <c r="W100" s="405"/>
      <c r="X100" s="406"/>
      <c r="Y100" s="414"/>
      <c r="Z100" s="415"/>
      <c r="AA100" s="143" t="str">
        <f>IF(Y100&lt;&gt;"",VLOOKUP(Y100,リスト!$H$2:$I$7,2,FALSE),"")</f>
        <v/>
      </c>
      <c r="AB100" s="255"/>
      <c r="AC100" s="237"/>
      <c r="AD100" s="237"/>
      <c r="AE100" s="101"/>
      <c r="AF100" s="237"/>
      <c r="AG100" s="237"/>
      <c r="AH100" s="250"/>
      <c r="AI100" s="250"/>
      <c r="AJ100" s="250"/>
      <c r="AK100" s="250"/>
      <c r="AL100" s="237"/>
      <c r="AM100" s="237"/>
      <c r="AN100" s="101"/>
      <c r="AO100" s="237"/>
      <c r="AP100" s="250"/>
      <c r="AQ100" s="250"/>
      <c r="AR100" s="237"/>
      <c r="AS100" s="101"/>
      <c r="AT100" s="237"/>
      <c r="AU100" s="250"/>
      <c r="AV100" s="250"/>
      <c r="AW100" s="237"/>
      <c r="AX100" s="101"/>
      <c r="AY100" s="237"/>
      <c r="AZ100" s="51"/>
      <c r="BA100" s="101"/>
      <c r="BB100" s="101"/>
      <c r="BC100" s="101"/>
      <c r="BD100" s="101"/>
      <c r="BE100" s="101"/>
      <c r="BF100" s="101"/>
      <c r="BG100" s="101"/>
      <c r="BH100" s="101"/>
      <c r="BI100" s="101"/>
      <c r="BJ100" s="101"/>
      <c r="BK100" s="101"/>
      <c r="BL100" s="101"/>
      <c r="BM100" s="101"/>
      <c r="BN100" s="101"/>
      <c r="BO100" s="101"/>
      <c r="BP100" s="101"/>
      <c r="BQ100" s="101"/>
      <c r="BR100" s="101"/>
      <c r="BS100" s="101"/>
      <c r="BT100" s="101"/>
      <c r="BU100" s="101"/>
      <c r="BV100" s="101"/>
      <c r="BW100" s="101"/>
      <c r="BX100" s="101"/>
      <c r="BY100" s="101"/>
      <c r="BZ100" s="101"/>
    </row>
    <row r="101" spans="1:78" ht="15.75" x14ac:dyDescent="0.15">
      <c r="A101" s="48"/>
      <c r="C101" s="99" t="s">
        <v>298</v>
      </c>
      <c r="D101" s="402"/>
      <c r="E101" s="403"/>
      <c r="F101" s="152"/>
      <c r="G101" s="405"/>
      <c r="H101" s="406"/>
      <c r="I101" s="441"/>
      <c r="J101" s="442"/>
      <c r="K101" s="143" t="str">
        <f>IF(I101&lt;&gt;"",VLOOKUP(I101,リスト!$H$2:$I$7,2,FALSE),"")</f>
        <v/>
      </c>
      <c r="L101" s="402"/>
      <c r="M101" s="403"/>
      <c r="N101" s="152"/>
      <c r="O101" s="405"/>
      <c r="P101" s="406"/>
      <c r="Q101" s="414"/>
      <c r="R101" s="415"/>
      <c r="S101" s="143" t="str">
        <f>IF(Q101&lt;&gt;"",VLOOKUP(Q101,リスト!$H$2:$I$7,2,FALSE),"")</f>
        <v/>
      </c>
      <c r="T101" s="402"/>
      <c r="U101" s="403"/>
      <c r="V101" s="152"/>
      <c r="W101" s="405"/>
      <c r="X101" s="406"/>
      <c r="Y101" s="414"/>
      <c r="Z101" s="415"/>
      <c r="AA101" s="143" t="str">
        <f>IF(Y101&lt;&gt;"",VLOOKUP(Y101,リスト!$H$2:$I$7,2,FALSE),"")</f>
        <v/>
      </c>
      <c r="AB101" s="255"/>
      <c r="AC101" s="237"/>
      <c r="AD101" s="237"/>
      <c r="AE101" s="101"/>
      <c r="AF101" s="237"/>
      <c r="AG101" s="237"/>
      <c r="AH101" s="250"/>
      <c r="AI101" s="250"/>
      <c r="AJ101" s="250"/>
      <c r="AK101" s="250"/>
      <c r="AL101" s="237"/>
      <c r="AM101" s="237"/>
      <c r="AN101" s="101"/>
      <c r="AO101" s="237"/>
      <c r="AP101" s="250"/>
      <c r="AQ101" s="250"/>
      <c r="AR101" s="237"/>
      <c r="AS101" s="101"/>
      <c r="AT101" s="237"/>
      <c r="AU101" s="250"/>
      <c r="AV101" s="250"/>
      <c r="AW101" s="237"/>
      <c r="AX101" s="101"/>
      <c r="AY101" s="237"/>
      <c r="AZ101" s="51"/>
      <c r="BA101" s="51"/>
      <c r="BB101" s="51"/>
      <c r="BC101" s="51"/>
      <c r="BD101" s="51"/>
      <c r="BE101" s="51"/>
      <c r="BF101" s="51"/>
      <c r="BG101" s="51"/>
      <c r="BH101" s="51"/>
      <c r="BI101" s="51"/>
      <c r="BJ101" s="51"/>
      <c r="BK101" s="51"/>
      <c r="BL101" s="51"/>
      <c r="BM101" s="51"/>
      <c r="BN101" s="51"/>
      <c r="BO101" s="101"/>
      <c r="BP101" s="101"/>
      <c r="BQ101" s="101"/>
      <c r="BR101" s="101"/>
      <c r="BS101" s="101"/>
      <c r="BT101" s="101"/>
      <c r="BU101" s="101"/>
      <c r="BV101" s="101"/>
      <c r="BW101" s="101"/>
      <c r="BX101" s="101"/>
      <c r="BY101" s="101"/>
      <c r="BZ101" s="101"/>
    </row>
    <row r="102" spans="1:78" ht="15.75" x14ac:dyDescent="0.15">
      <c r="A102" s="48"/>
      <c r="C102" s="99" t="s">
        <v>299</v>
      </c>
      <c r="D102" s="402"/>
      <c r="E102" s="403"/>
      <c r="F102" s="152"/>
      <c r="G102" s="405"/>
      <c r="H102" s="406"/>
      <c r="I102" s="414"/>
      <c r="J102" s="415"/>
      <c r="K102" s="143" t="str">
        <f>IF(I102&lt;&gt;"",VLOOKUP(I102,リスト!$H$2:$I$7,2,FALSE),"")</f>
        <v/>
      </c>
      <c r="L102" s="402"/>
      <c r="M102" s="403"/>
      <c r="N102" s="152"/>
      <c r="O102" s="405"/>
      <c r="P102" s="406"/>
      <c r="Q102" s="414"/>
      <c r="R102" s="415"/>
      <c r="S102" s="143" t="str">
        <f>IF(Q102&lt;&gt;"",VLOOKUP(Q102,リスト!$H$2:$I$7,2,FALSE),"")</f>
        <v/>
      </c>
      <c r="T102" s="402"/>
      <c r="U102" s="403"/>
      <c r="V102" s="152"/>
      <c r="W102" s="405"/>
      <c r="X102" s="406"/>
      <c r="Y102" s="414"/>
      <c r="Z102" s="415"/>
      <c r="AA102" s="143" t="str">
        <f>IF(Y102&lt;&gt;"",VLOOKUP(Y102,リスト!$H$2:$I$7,2,FALSE),"")</f>
        <v/>
      </c>
      <c r="AB102" s="255"/>
      <c r="AC102" s="237"/>
      <c r="AD102" s="237"/>
      <c r="AE102" s="101"/>
      <c r="AF102" s="237"/>
      <c r="AG102" s="237"/>
      <c r="AH102" s="250"/>
      <c r="AI102" s="250"/>
      <c r="AJ102" s="250"/>
      <c r="AK102" s="250"/>
      <c r="AL102" s="237"/>
      <c r="AM102" s="237"/>
      <c r="AN102" s="101"/>
      <c r="AO102" s="237"/>
      <c r="AP102" s="250"/>
      <c r="AQ102" s="250"/>
      <c r="AR102" s="237"/>
      <c r="AS102" s="101"/>
      <c r="AT102" s="237"/>
      <c r="AU102" s="250"/>
      <c r="AV102" s="250"/>
      <c r="AW102" s="237"/>
      <c r="AX102" s="101"/>
      <c r="AY102" s="237"/>
      <c r="AZ102" s="51"/>
      <c r="BA102" s="272"/>
      <c r="BB102" s="272"/>
      <c r="BC102" s="85"/>
      <c r="BD102" s="85"/>
      <c r="BE102" s="85"/>
      <c r="BF102" s="272"/>
      <c r="BG102" s="272"/>
      <c r="BH102" s="272"/>
      <c r="BI102" s="272"/>
      <c r="BJ102" s="272"/>
      <c r="BK102" s="272"/>
      <c r="BL102" s="272"/>
      <c r="BM102" s="272"/>
      <c r="BN102" s="272"/>
      <c r="BO102" s="51"/>
    </row>
    <row r="103" spans="1:78" ht="15.75" customHeight="1" x14ac:dyDescent="0.15">
      <c r="A103" s="48"/>
      <c r="C103" s="99" t="s">
        <v>306</v>
      </c>
      <c r="D103" s="402"/>
      <c r="E103" s="403"/>
      <c r="F103" s="152"/>
      <c r="G103" s="405"/>
      <c r="H103" s="406"/>
      <c r="I103" s="414"/>
      <c r="J103" s="415"/>
      <c r="K103" s="143" t="str">
        <f>IF(I103&lt;&gt;"",VLOOKUP(I103,リスト!$H$2:$I$7,2,FALSE),"")</f>
        <v/>
      </c>
      <c r="L103" s="402"/>
      <c r="M103" s="403"/>
      <c r="N103" s="152"/>
      <c r="O103" s="405"/>
      <c r="P103" s="406"/>
      <c r="Q103" s="414"/>
      <c r="R103" s="415"/>
      <c r="S103" s="143" t="str">
        <f>IF(Q103&lt;&gt;"",VLOOKUP(Q103,リスト!$H$2:$I$7,2,FALSE),"")</f>
        <v/>
      </c>
      <c r="T103" s="402"/>
      <c r="U103" s="403"/>
      <c r="V103" s="152"/>
      <c r="W103" s="405"/>
      <c r="X103" s="406"/>
      <c r="Y103" s="414"/>
      <c r="Z103" s="415"/>
      <c r="AA103" s="143" t="str">
        <f>IF(Y103&lt;&gt;"",VLOOKUP(Y103,リスト!$H$2:$I$7,2,FALSE),"")</f>
        <v/>
      </c>
      <c r="AB103" s="255"/>
      <c r="AC103" s="237"/>
      <c r="AD103" s="237"/>
      <c r="AE103" s="101"/>
      <c r="AF103" s="237"/>
      <c r="AG103" s="237"/>
      <c r="AH103" s="250"/>
      <c r="AI103" s="250"/>
      <c r="AJ103" s="250"/>
      <c r="AK103" s="250"/>
      <c r="AL103" s="237"/>
      <c r="AM103" s="237"/>
      <c r="AN103" s="101"/>
      <c r="AO103" s="237"/>
      <c r="AP103" s="250"/>
      <c r="AQ103" s="250"/>
      <c r="AR103" s="237"/>
      <c r="AS103" s="101"/>
      <c r="AT103" s="237"/>
      <c r="AU103" s="250"/>
      <c r="AV103" s="250"/>
      <c r="AW103" s="237"/>
      <c r="AX103" s="101"/>
      <c r="AY103" s="237"/>
    </row>
    <row r="104" spans="1:78" ht="15.75" customHeight="1" x14ac:dyDescent="0.15">
      <c r="A104" s="48"/>
      <c r="C104" s="100" t="s">
        <v>307</v>
      </c>
      <c r="D104" s="402"/>
      <c r="E104" s="403"/>
      <c r="F104" s="152"/>
      <c r="G104" s="405"/>
      <c r="H104" s="406"/>
      <c r="I104" s="441"/>
      <c r="J104" s="442"/>
      <c r="K104" s="143" t="str">
        <f>IF(I104&lt;&gt;"",VLOOKUP(I104,リスト!$H$2:$I$7,2,FALSE),"")</f>
        <v/>
      </c>
      <c r="L104" s="402"/>
      <c r="M104" s="403"/>
      <c r="N104" s="152"/>
      <c r="O104" s="405"/>
      <c r="P104" s="406"/>
      <c r="Q104" s="414"/>
      <c r="R104" s="415"/>
      <c r="S104" s="143" t="str">
        <f>IF(Q104&lt;&gt;"",VLOOKUP(Q104,リスト!$H$2:$I$7,2,FALSE),"")</f>
        <v/>
      </c>
      <c r="T104" s="402"/>
      <c r="U104" s="403"/>
      <c r="V104" s="152"/>
      <c r="W104" s="405"/>
      <c r="X104" s="406"/>
      <c r="Y104" s="414"/>
      <c r="Z104" s="415"/>
      <c r="AA104" s="143" t="str">
        <f>IF(Y104&lt;&gt;"",VLOOKUP(Y104,リスト!$H$2:$I$7,2,FALSE),"")</f>
        <v/>
      </c>
      <c r="AB104" s="255"/>
      <c r="AC104" s="237"/>
      <c r="AD104" s="237"/>
      <c r="AE104" s="101"/>
      <c r="AF104" s="237"/>
      <c r="AG104" s="237"/>
      <c r="AH104" s="250"/>
      <c r="AI104" s="250"/>
      <c r="AJ104" s="250"/>
      <c r="AK104" s="250"/>
      <c r="AL104" s="237"/>
      <c r="AM104" s="237"/>
      <c r="AN104" s="101"/>
      <c r="AO104" s="237"/>
      <c r="AP104" s="250"/>
      <c r="AQ104" s="250"/>
      <c r="AR104" s="237"/>
      <c r="AS104" s="101"/>
      <c r="AT104" s="237"/>
      <c r="AU104" s="250"/>
      <c r="AV104" s="250"/>
      <c r="AW104" s="237"/>
      <c r="AX104" s="101"/>
      <c r="AY104" s="237"/>
    </row>
    <row r="105" spans="1:78" ht="15.75" customHeight="1" x14ac:dyDescent="0.15">
      <c r="A105" s="48"/>
      <c r="C105" s="438"/>
      <c r="D105" s="407" t="s">
        <v>303</v>
      </c>
      <c r="E105" s="408"/>
      <c r="F105" s="408"/>
      <c r="G105" s="408"/>
      <c r="H105" s="408"/>
      <c r="I105" s="408"/>
      <c r="J105" s="408"/>
      <c r="K105" s="408"/>
      <c r="L105" s="408" t="s">
        <v>305</v>
      </c>
      <c r="M105" s="408"/>
      <c r="N105" s="408"/>
      <c r="O105" s="408"/>
      <c r="P105" s="408"/>
      <c r="Q105" s="408"/>
      <c r="R105" s="408"/>
      <c r="S105" s="408"/>
      <c r="T105" s="407" t="s">
        <v>308</v>
      </c>
      <c r="U105" s="408"/>
      <c r="V105" s="408"/>
      <c r="W105" s="408"/>
      <c r="X105" s="408"/>
      <c r="Y105" s="408"/>
      <c r="Z105" s="408"/>
      <c r="AA105" s="408"/>
      <c r="AB105" s="116"/>
      <c r="AC105" s="85"/>
      <c r="AD105" s="85"/>
      <c r="AE105" s="85"/>
      <c r="AF105" s="85"/>
      <c r="AG105" s="272"/>
      <c r="AH105" s="250"/>
      <c r="AI105" s="250"/>
      <c r="AJ105" s="250"/>
      <c r="AK105" s="250"/>
      <c r="AL105" s="237"/>
      <c r="AM105" s="237"/>
      <c r="AN105" s="101"/>
      <c r="AO105" s="237"/>
      <c r="AP105" s="250"/>
      <c r="AQ105" s="250"/>
      <c r="AR105" s="237"/>
      <c r="AS105" s="101"/>
      <c r="AT105" s="237"/>
      <c r="AU105" s="250"/>
      <c r="AV105" s="250"/>
      <c r="AW105" s="237"/>
      <c r="AX105" s="101"/>
      <c r="AY105" s="237"/>
    </row>
    <row r="106" spans="1:78" ht="15.75" customHeight="1" x14ac:dyDescent="0.15">
      <c r="A106" s="48"/>
      <c r="C106" s="439"/>
      <c r="D106" s="409" t="s">
        <v>300</v>
      </c>
      <c r="E106" s="409"/>
      <c r="F106" s="409"/>
      <c r="G106" s="409"/>
      <c r="H106" s="409"/>
      <c r="I106" s="409" t="s">
        <v>293</v>
      </c>
      <c r="J106" s="409"/>
      <c r="K106" s="409"/>
      <c r="L106" s="417" t="s">
        <v>300</v>
      </c>
      <c r="M106" s="418"/>
      <c r="N106" s="418"/>
      <c r="O106" s="418"/>
      <c r="P106" s="418"/>
      <c r="Q106" s="417" t="s">
        <v>293</v>
      </c>
      <c r="R106" s="418"/>
      <c r="S106" s="419"/>
      <c r="T106" s="409" t="s">
        <v>300</v>
      </c>
      <c r="U106" s="409"/>
      <c r="V106" s="409"/>
      <c r="W106" s="409"/>
      <c r="X106" s="409"/>
      <c r="Y106" s="409" t="s">
        <v>293</v>
      </c>
      <c r="Z106" s="409"/>
      <c r="AA106" s="409"/>
      <c r="AB106" s="254"/>
      <c r="AC106" s="275"/>
      <c r="AD106" s="246"/>
      <c r="AE106" s="246"/>
      <c r="AF106" s="246"/>
      <c r="AG106" s="275"/>
      <c r="AH106" s="250"/>
      <c r="AI106" s="250"/>
      <c r="AJ106" s="250"/>
      <c r="AK106" s="250"/>
      <c r="AL106" s="237"/>
      <c r="AM106" s="237"/>
      <c r="AN106" s="101"/>
      <c r="AO106" s="237"/>
      <c r="AP106" s="250"/>
      <c r="AQ106" s="250"/>
      <c r="AR106" s="237"/>
      <c r="AS106" s="101"/>
      <c r="AT106" s="237"/>
      <c r="AU106" s="250"/>
      <c r="AV106" s="250"/>
      <c r="AW106" s="237"/>
      <c r="AX106" s="101"/>
      <c r="AY106" s="237"/>
    </row>
    <row r="107" spans="1:78" ht="15.75" customHeight="1" x14ac:dyDescent="0.15">
      <c r="A107" s="48"/>
      <c r="C107" s="440"/>
      <c r="D107" s="400" t="s">
        <v>110</v>
      </c>
      <c r="E107" s="401"/>
      <c r="F107" s="276" t="s">
        <v>304</v>
      </c>
      <c r="G107" s="401" t="s">
        <v>301</v>
      </c>
      <c r="H107" s="404"/>
      <c r="I107" s="400" t="s">
        <v>348</v>
      </c>
      <c r="J107" s="401"/>
      <c r="K107" s="277" t="s">
        <v>275</v>
      </c>
      <c r="L107" s="376" t="s">
        <v>110</v>
      </c>
      <c r="M107" s="397"/>
      <c r="N107" s="276" t="s">
        <v>304</v>
      </c>
      <c r="O107" s="410" t="s">
        <v>301</v>
      </c>
      <c r="P107" s="411"/>
      <c r="Q107" s="376" t="s">
        <v>348</v>
      </c>
      <c r="R107" s="397"/>
      <c r="S107" s="277" t="s">
        <v>275</v>
      </c>
      <c r="T107" s="400" t="s">
        <v>110</v>
      </c>
      <c r="U107" s="401"/>
      <c r="V107" s="276" t="s">
        <v>304</v>
      </c>
      <c r="W107" s="401" t="s">
        <v>301</v>
      </c>
      <c r="X107" s="404"/>
      <c r="Y107" s="376" t="s">
        <v>348</v>
      </c>
      <c r="Z107" s="397"/>
      <c r="AA107" s="277" t="s">
        <v>275</v>
      </c>
      <c r="AB107" s="242"/>
      <c r="AC107" s="273"/>
      <c r="AD107" s="273"/>
      <c r="AE107" s="273"/>
      <c r="AF107" s="273"/>
      <c r="AG107" s="273"/>
      <c r="AH107" s="250"/>
      <c r="AI107" s="250"/>
      <c r="AJ107" s="250"/>
      <c r="AK107" s="250"/>
      <c r="AL107" s="237"/>
      <c r="AM107" s="237"/>
      <c r="AN107" s="101"/>
      <c r="AO107" s="237"/>
      <c r="AP107" s="250"/>
      <c r="AQ107" s="250"/>
      <c r="AR107" s="237"/>
      <c r="AS107" s="101"/>
      <c r="AT107" s="237"/>
      <c r="AU107" s="250"/>
      <c r="AV107" s="250"/>
      <c r="AW107" s="237"/>
      <c r="AX107" s="101"/>
      <c r="AY107" s="237"/>
    </row>
    <row r="108" spans="1:78" ht="15.75" customHeight="1" x14ac:dyDescent="0.15">
      <c r="A108" s="48"/>
      <c r="C108" s="100" t="s">
        <v>297</v>
      </c>
      <c r="D108" s="402"/>
      <c r="E108" s="403"/>
      <c r="F108" s="152"/>
      <c r="G108" s="405"/>
      <c r="H108" s="406"/>
      <c r="I108" s="414"/>
      <c r="J108" s="415"/>
      <c r="K108" s="143" t="str">
        <f>IF(I108&lt;&gt;"",VLOOKUP(I108,リスト!$H$2:$I$7,2,FALSE),"")</f>
        <v/>
      </c>
      <c r="L108" s="402"/>
      <c r="M108" s="403"/>
      <c r="N108" s="152"/>
      <c r="O108" s="412"/>
      <c r="P108" s="413"/>
      <c r="Q108" s="398"/>
      <c r="R108" s="399"/>
      <c r="S108" s="143" t="str">
        <f>IF(Q108&lt;&gt;"",VLOOKUP(Q108,リスト!$H$2:$I$7,2,FALSE),"")</f>
        <v/>
      </c>
      <c r="T108" s="402"/>
      <c r="U108" s="403"/>
      <c r="V108" s="152"/>
      <c r="W108" s="405"/>
      <c r="X108" s="406"/>
      <c r="Y108" s="398"/>
      <c r="Z108" s="399"/>
      <c r="AA108" s="143" t="str">
        <f>IF(Y108&lt;&gt;"",VLOOKUP(Y108,リスト!$H$2:$I$7,2,FALSE),"")</f>
        <v/>
      </c>
      <c r="AB108" s="255"/>
      <c r="AC108" s="237"/>
      <c r="AD108" s="101"/>
      <c r="AE108" s="101"/>
      <c r="AF108" s="237"/>
      <c r="AG108" s="237"/>
      <c r="AH108" s="250"/>
      <c r="AI108" s="250"/>
      <c r="AJ108" s="250"/>
      <c r="AK108" s="250"/>
      <c r="AL108" s="237"/>
      <c r="AM108" s="237"/>
      <c r="AN108" s="101"/>
      <c r="AO108" s="237"/>
      <c r="AP108" s="250"/>
      <c r="AQ108" s="250"/>
      <c r="AR108" s="237"/>
      <c r="AS108" s="101"/>
      <c r="AT108" s="237"/>
      <c r="AU108" s="250"/>
      <c r="AV108" s="250"/>
      <c r="AW108" s="237"/>
      <c r="AX108" s="101"/>
      <c r="AY108" s="237"/>
    </row>
    <row r="109" spans="1:78" ht="15.75" customHeight="1" x14ac:dyDescent="0.15">
      <c r="A109" s="48"/>
      <c r="C109" s="99" t="s">
        <v>298</v>
      </c>
      <c r="D109" s="402"/>
      <c r="E109" s="403"/>
      <c r="F109" s="152"/>
      <c r="G109" s="405"/>
      <c r="H109" s="406"/>
      <c r="I109" s="414"/>
      <c r="J109" s="415"/>
      <c r="K109" s="143" t="str">
        <f>IF(I109&lt;&gt;"",VLOOKUP(I109,リスト!$H$2:$I$7,2,FALSE),"")</f>
        <v/>
      </c>
      <c r="L109" s="402"/>
      <c r="M109" s="403"/>
      <c r="N109" s="152"/>
      <c r="O109" s="412"/>
      <c r="P109" s="413"/>
      <c r="Q109" s="398"/>
      <c r="R109" s="399"/>
      <c r="S109" s="143" t="str">
        <f>IF(Q109&lt;&gt;"",VLOOKUP(Q109,リスト!$H$2:$I$7,2,FALSE),"")</f>
        <v/>
      </c>
      <c r="T109" s="402"/>
      <c r="U109" s="403"/>
      <c r="V109" s="152"/>
      <c r="W109" s="405"/>
      <c r="X109" s="406"/>
      <c r="Y109" s="398"/>
      <c r="Z109" s="399"/>
      <c r="AA109" s="143" t="str">
        <f>IF(Y109&lt;&gt;"",VLOOKUP(Y109,リスト!$H$2:$I$7,2,FALSE),"")</f>
        <v/>
      </c>
      <c r="AB109" s="255"/>
      <c r="AC109" s="237"/>
      <c r="AD109" s="101"/>
      <c r="AE109" s="101"/>
      <c r="AF109" s="237"/>
      <c r="AG109" s="237"/>
      <c r="AH109" s="250"/>
      <c r="AI109" s="250"/>
      <c r="AJ109" s="250"/>
      <c r="AK109" s="250"/>
      <c r="AL109" s="237"/>
      <c r="AM109" s="237"/>
      <c r="AN109" s="101"/>
      <c r="AO109" s="237"/>
      <c r="AP109" s="250"/>
      <c r="AQ109" s="250"/>
      <c r="AR109" s="237"/>
      <c r="AS109" s="101"/>
      <c r="AT109" s="237"/>
      <c r="AU109" s="250"/>
      <c r="AV109" s="250"/>
      <c r="AW109" s="237"/>
      <c r="AX109" s="101"/>
      <c r="AY109" s="237"/>
    </row>
    <row r="110" spans="1:78" ht="15.75" customHeight="1" x14ac:dyDescent="0.15">
      <c r="A110" s="48"/>
      <c r="C110" s="99" t="s">
        <v>299</v>
      </c>
      <c r="D110" s="402"/>
      <c r="E110" s="403"/>
      <c r="F110" s="152"/>
      <c r="G110" s="405"/>
      <c r="H110" s="406"/>
      <c r="I110" s="414"/>
      <c r="J110" s="415"/>
      <c r="K110" s="143" t="str">
        <f>IF(I110&lt;&gt;"",VLOOKUP(I110,リスト!$H$2:$I$7,2,FALSE),"")</f>
        <v/>
      </c>
      <c r="L110" s="402"/>
      <c r="M110" s="403"/>
      <c r="N110" s="152"/>
      <c r="O110" s="412"/>
      <c r="P110" s="413"/>
      <c r="Q110" s="398"/>
      <c r="R110" s="399"/>
      <c r="S110" s="143" t="str">
        <f>IF(Q110&lt;&gt;"",VLOOKUP(Q110,リスト!$H$2:$I$7,2,FALSE),"")</f>
        <v/>
      </c>
      <c r="T110" s="402"/>
      <c r="U110" s="403"/>
      <c r="V110" s="152"/>
      <c r="W110" s="405"/>
      <c r="X110" s="406"/>
      <c r="Y110" s="398"/>
      <c r="Z110" s="399"/>
      <c r="AA110" s="143" t="str">
        <f>IF(Y110&lt;&gt;"",VLOOKUP(Y110,リスト!$H$2:$I$7,2,FALSE),"")</f>
        <v/>
      </c>
      <c r="AB110" s="255"/>
      <c r="AC110" s="237"/>
      <c r="AD110" s="101"/>
      <c r="AE110" s="101"/>
      <c r="AF110" s="237"/>
      <c r="AG110" s="237"/>
      <c r="AH110" s="250"/>
      <c r="AI110" s="250"/>
      <c r="AJ110" s="250"/>
      <c r="AK110" s="250"/>
      <c r="AL110" s="237"/>
      <c r="AM110" s="237"/>
      <c r="AN110" s="101"/>
      <c r="AO110" s="237"/>
      <c r="AP110" s="250"/>
      <c r="AQ110" s="250"/>
      <c r="AR110" s="237"/>
      <c r="AS110" s="101"/>
      <c r="AT110" s="237"/>
      <c r="AU110" s="250"/>
      <c r="AV110" s="250"/>
      <c r="AW110" s="237"/>
      <c r="AX110" s="101"/>
      <c r="AY110" s="237"/>
    </row>
    <row r="111" spans="1:78" ht="15.75" customHeight="1" x14ac:dyDescent="0.15">
      <c r="A111" s="48"/>
      <c r="C111" s="99" t="s">
        <v>306</v>
      </c>
      <c r="D111" s="402"/>
      <c r="E111" s="403"/>
      <c r="F111" s="152"/>
      <c r="G111" s="405"/>
      <c r="H111" s="406"/>
      <c r="I111" s="414"/>
      <c r="J111" s="415"/>
      <c r="K111" s="143" t="str">
        <f>IF(I111&lt;&gt;"",VLOOKUP(I111,リスト!$H$2:$I$7,2,FALSE),"")</f>
        <v/>
      </c>
      <c r="L111" s="402"/>
      <c r="M111" s="403"/>
      <c r="N111" s="152"/>
      <c r="O111" s="412"/>
      <c r="P111" s="413"/>
      <c r="Q111" s="398"/>
      <c r="R111" s="399"/>
      <c r="S111" s="143" t="str">
        <f>IF(Q111&lt;&gt;"",VLOOKUP(Q111,リスト!$H$2:$I$7,2,FALSE),"")</f>
        <v/>
      </c>
      <c r="T111" s="402"/>
      <c r="U111" s="403"/>
      <c r="V111" s="152"/>
      <c r="W111" s="405"/>
      <c r="X111" s="406"/>
      <c r="Y111" s="398"/>
      <c r="Z111" s="399"/>
      <c r="AA111" s="143" t="str">
        <f>IF(Y111&lt;&gt;"",VLOOKUP(Y111,リスト!$H$2:$I$7,2,FALSE),"")</f>
        <v/>
      </c>
      <c r="AB111" s="255"/>
      <c r="AC111" s="237"/>
      <c r="AD111" s="101"/>
      <c r="AE111" s="101"/>
      <c r="AF111" s="237"/>
      <c r="AG111" s="237"/>
      <c r="AH111" s="250"/>
      <c r="AI111" s="250"/>
      <c r="AJ111" s="250"/>
      <c r="AK111" s="250"/>
      <c r="AL111" s="237"/>
      <c r="AM111" s="237"/>
      <c r="AN111" s="101"/>
      <c r="AO111" s="237"/>
      <c r="AP111" s="250"/>
      <c r="AQ111" s="250"/>
      <c r="AR111" s="237"/>
      <c r="AS111" s="101"/>
      <c r="AT111" s="237"/>
      <c r="AU111" s="250"/>
      <c r="AV111" s="250"/>
      <c r="AW111" s="237"/>
      <c r="AX111" s="101"/>
      <c r="AY111" s="237"/>
    </row>
    <row r="112" spans="1:78" ht="15.75" customHeight="1" x14ac:dyDescent="0.15">
      <c r="A112" s="48"/>
      <c r="C112" s="100" t="s">
        <v>307</v>
      </c>
      <c r="D112" s="402"/>
      <c r="E112" s="403"/>
      <c r="F112" s="152"/>
      <c r="G112" s="405"/>
      <c r="H112" s="406"/>
      <c r="I112" s="414"/>
      <c r="J112" s="415"/>
      <c r="K112" s="143" t="str">
        <f>IF(I112&lt;&gt;"",VLOOKUP(I112,リスト!$H$2:$I$7,2,FALSE),"")</f>
        <v/>
      </c>
      <c r="L112" s="402"/>
      <c r="M112" s="403"/>
      <c r="N112" s="152"/>
      <c r="O112" s="412"/>
      <c r="P112" s="413"/>
      <c r="Q112" s="398"/>
      <c r="R112" s="399"/>
      <c r="S112" s="143" t="str">
        <f>IF(Q112&lt;&gt;"",VLOOKUP(Q112,リスト!$H$2:$I$7,2,FALSE),"")</f>
        <v/>
      </c>
      <c r="T112" s="402"/>
      <c r="U112" s="403"/>
      <c r="V112" s="152"/>
      <c r="W112" s="405"/>
      <c r="X112" s="406"/>
      <c r="Y112" s="398"/>
      <c r="Z112" s="399"/>
      <c r="AA112" s="143" t="str">
        <f>IF(Y112&lt;&gt;"",VLOOKUP(Y112,リスト!$H$2:$I$7,2,FALSE),"")</f>
        <v/>
      </c>
      <c r="AB112" s="255"/>
      <c r="AC112" s="237"/>
      <c r="AD112" s="101"/>
      <c r="AE112" s="101"/>
      <c r="AF112" s="237"/>
      <c r="AG112" s="237"/>
      <c r="AH112" s="250"/>
      <c r="AI112" s="250"/>
      <c r="AJ112" s="250"/>
      <c r="AK112" s="250"/>
      <c r="AL112" s="237"/>
      <c r="AM112" s="237"/>
      <c r="AN112" s="101"/>
      <c r="AO112" s="237"/>
      <c r="AP112" s="250"/>
      <c r="AQ112" s="250"/>
      <c r="AR112" s="237"/>
      <c r="AS112" s="101"/>
      <c r="AT112" s="237"/>
      <c r="AU112" s="250"/>
      <c r="AV112" s="250"/>
      <c r="AW112" s="237"/>
      <c r="AX112" s="101"/>
      <c r="AY112" s="237"/>
    </row>
    <row r="113" spans="1:71" ht="15.75" customHeight="1" x14ac:dyDescent="0.15">
      <c r="A113" s="49"/>
      <c r="C113" s="133"/>
      <c r="D113" s="133"/>
      <c r="E113" s="133"/>
      <c r="F113" s="133"/>
      <c r="G113" s="133"/>
      <c r="H113" s="132"/>
      <c r="I113" s="132"/>
      <c r="J113" s="133"/>
      <c r="K113" s="133"/>
      <c r="L113" s="133"/>
      <c r="M113" s="133"/>
      <c r="N113" s="133"/>
      <c r="O113" s="133"/>
      <c r="P113" s="133"/>
      <c r="Q113" s="133"/>
      <c r="R113" s="133"/>
      <c r="S113" s="133"/>
      <c r="T113" s="133"/>
      <c r="U113" s="133"/>
      <c r="V113" s="133"/>
      <c r="W113" s="133"/>
      <c r="X113" s="133"/>
      <c r="Y113" s="133"/>
      <c r="Z113" s="133"/>
      <c r="AA113" s="133"/>
      <c r="AB113" s="51"/>
      <c r="AC113" s="51"/>
      <c r="AD113" s="51"/>
      <c r="AE113" s="51"/>
      <c r="AF113" s="51"/>
      <c r="AG113" s="51"/>
      <c r="AH113" s="51"/>
      <c r="AI113" s="51"/>
      <c r="AJ113" s="51"/>
      <c r="AK113" s="51"/>
      <c r="AL113" s="51"/>
      <c r="AM113" s="51"/>
      <c r="AN113" s="51"/>
      <c r="AO113" s="51"/>
    </row>
    <row r="114" spans="1:71" ht="15.75" customHeight="1" x14ac:dyDescent="0.15">
      <c r="C114" s="135" t="s">
        <v>327</v>
      </c>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16"/>
      <c r="AC114" s="85"/>
      <c r="AD114" s="85"/>
      <c r="AE114" s="85"/>
      <c r="AF114" s="85"/>
      <c r="AG114" s="85"/>
      <c r="AH114" s="85"/>
      <c r="AI114" s="85"/>
      <c r="AJ114" s="85"/>
      <c r="AK114" s="85"/>
      <c r="AL114" s="85"/>
      <c r="AM114" s="85"/>
      <c r="AN114" s="85"/>
      <c r="AO114" s="85"/>
      <c r="AP114" s="85"/>
      <c r="AQ114" s="85"/>
      <c r="AR114" s="85"/>
      <c r="AS114" s="85"/>
      <c r="AT114" s="85"/>
      <c r="AU114" s="85"/>
      <c r="AV114" s="85"/>
      <c r="AW114" s="85"/>
      <c r="AX114" s="85"/>
      <c r="AY114" s="85"/>
      <c r="AZ114" s="51"/>
    </row>
    <row r="115" spans="1:71" ht="15.75" customHeight="1" x14ac:dyDescent="0.15">
      <c r="C115" s="391"/>
      <c r="D115" s="392"/>
      <c r="E115" s="392"/>
      <c r="F115" s="392"/>
      <c r="G115" s="392"/>
      <c r="H115" s="392"/>
      <c r="I115" s="392"/>
      <c r="J115" s="392"/>
      <c r="K115" s="392"/>
      <c r="L115" s="392"/>
      <c r="M115" s="392"/>
      <c r="N115" s="392"/>
      <c r="O115" s="392"/>
      <c r="P115" s="392"/>
      <c r="Q115" s="392"/>
      <c r="R115" s="392"/>
      <c r="S115" s="392"/>
      <c r="T115" s="392"/>
      <c r="U115" s="392"/>
      <c r="V115" s="392"/>
      <c r="W115" s="392"/>
      <c r="X115" s="392"/>
      <c r="Y115" s="392"/>
      <c r="Z115" s="392"/>
      <c r="AA115" s="392"/>
      <c r="AB115" s="291"/>
      <c r="AC115" s="151"/>
      <c r="AD115" s="151"/>
      <c r="AE115" s="151"/>
      <c r="AF115" s="151"/>
      <c r="AG115" s="292"/>
      <c r="AH115" s="151"/>
      <c r="AI115" s="151"/>
      <c r="AJ115" s="151"/>
      <c r="AK115" s="151"/>
      <c r="AL115" s="151"/>
      <c r="AM115" s="151"/>
      <c r="AN115" s="151"/>
      <c r="AO115" s="151"/>
      <c r="AP115" s="151"/>
      <c r="AQ115" s="151"/>
      <c r="AR115" s="151"/>
      <c r="AS115" s="151"/>
      <c r="AT115" s="151"/>
      <c r="AU115" s="151"/>
      <c r="AV115" s="151"/>
      <c r="AW115" s="151"/>
      <c r="AX115" s="151"/>
      <c r="AY115" s="151"/>
      <c r="AZ115" s="51"/>
    </row>
    <row r="116" spans="1:71" ht="15.75" customHeight="1" x14ac:dyDescent="0.15">
      <c r="C116" s="393"/>
      <c r="D116" s="394"/>
      <c r="E116" s="394"/>
      <c r="F116" s="394"/>
      <c r="G116" s="394"/>
      <c r="H116" s="394"/>
      <c r="I116" s="394"/>
      <c r="J116" s="394"/>
      <c r="K116" s="394"/>
      <c r="L116" s="394"/>
      <c r="M116" s="394"/>
      <c r="N116" s="394"/>
      <c r="O116" s="394"/>
      <c r="P116" s="394"/>
      <c r="Q116" s="394"/>
      <c r="R116" s="394"/>
      <c r="S116" s="394"/>
      <c r="T116" s="394"/>
      <c r="U116" s="394"/>
      <c r="V116" s="394"/>
      <c r="W116" s="394"/>
      <c r="X116" s="394"/>
      <c r="Y116" s="394"/>
      <c r="Z116" s="394"/>
      <c r="AA116" s="394"/>
      <c r="AB116" s="291"/>
      <c r="AC116" s="151"/>
      <c r="AD116" s="151"/>
      <c r="AE116" s="151"/>
      <c r="AF116" s="151"/>
      <c r="AG116" s="292"/>
      <c r="AH116" s="151"/>
      <c r="AI116" s="151"/>
      <c r="AJ116" s="151"/>
      <c r="AK116" s="151"/>
      <c r="AL116" s="151"/>
      <c r="AM116" s="151"/>
      <c r="AN116" s="151"/>
      <c r="AO116" s="151"/>
      <c r="AP116" s="151"/>
      <c r="AQ116" s="151"/>
      <c r="AR116" s="151"/>
      <c r="AS116" s="151"/>
      <c r="AT116" s="151"/>
      <c r="AU116" s="151"/>
      <c r="AV116" s="151"/>
      <c r="AW116" s="151"/>
      <c r="AX116" s="151"/>
      <c r="AY116" s="151"/>
      <c r="BA116" s="472"/>
      <c r="BB116" s="472"/>
      <c r="BC116" s="472"/>
      <c r="BD116" s="472"/>
      <c r="BE116" s="472"/>
      <c r="BF116" s="472"/>
      <c r="BG116" s="472"/>
      <c r="BH116" s="472"/>
      <c r="BI116" s="472"/>
      <c r="BJ116" s="472"/>
      <c r="BK116" s="472"/>
      <c r="BL116" s="472"/>
      <c r="BM116" s="472"/>
      <c r="BN116" s="472"/>
      <c r="BO116" s="472"/>
      <c r="BP116" s="472"/>
      <c r="BQ116" s="472"/>
      <c r="BR116" s="472"/>
      <c r="BS116" s="472"/>
    </row>
    <row r="117" spans="1:71" ht="15.75" customHeight="1" x14ac:dyDescent="0.15">
      <c r="C117" s="393"/>
      <c r="D117" s="394"/>
      <c r="E117" s="394"/>
      <c r="F117" s="394"/>
      <c r="G117" s="394"/>
      <c r="H117" s="394"/>
      <c r="I117" s="394"/>
      <c r="J117" s="394"/>
      <c r="K117" s="394"/>
      <c r="L117" s="394"/>
      <c r="M117" s="394"/>
      <c r="N117" s="394"/>
      <c r="O117" s="394"/>
      <c r="P117" s="394"/>
      <c r="Q117" s="394"/>
      <c r="R117" s="394"/>
      <c r="S117" s="394"/>
      <c r="T117" s="394"/>
      <c r="U117" s="394"/>
      <c r="V117" s="394"/>
      <c r="W117" s="394"/>
      <c r="X117" s="394"/>
      <c r="Y117" s="394"/>
      <c r="Z117" s="394"/>
      <c r="AA117" s="394"/>
      <c r="AB117" s="291"/>
      <c r="AC117" s="151"/>
      <c r="AD117" s="151"/>
      <c r="AE117" s="151"/>
      <c r="AF117" s="151"/>
      <c r="AG117" s="292"/>
      <c r="AH117" s="151"/>
      <c r="AI117" s="151"/>
      <c r="AJ117" s="151"/>
      <c r="AK117" s="151"/>
      <c r="AL117" s="151"/>
      <c r="AM117" s="151"/>
      <c r="AN117" s="151"/>
      <c r="AO117" s="151"/>
      <c r="AP117" s="151"/>
      <c r="AQ117" s="151"/>
      <c r="AR117" s="151"/>
      <c r="AS117" s="151"/>
      <c r="AT117" s="151"/>
      <c r="AU117" s="151"/>
      <c r="AV117" s="151"/>
      <c r="AW117" s="151"/>
      <c r="AX117" s="151"/>
      <c r="AY117" s="151"/>
      <c r="BA117" s="457"/>
      <c r="BB117" s="457"/>
      <c r="BC117" s="457"/>
      <c r="BD117" s="457"/>
      <c r="BE117" s="457"/>
      <c r="BF117" s="457"/>
      <c r="BG117" s="457"/>
      <c r="BH117" s="457"/>
      <c r="BI117" s="457"/>
      <c r="BJ117" s="457"/>
      <c r="BK117" s="457"/>
      <c r="BL117" s="457"/>
      <c r="BM117" s="457"/>
      <c r="BN117" s="457"/>
      <c r="BO117" s="457"/>
      <c r="BP117" s="457"/>
      <c r="BQ117" s="457"/>
      <c r="BR117" s="457"/>
      <c r="BS117" s="457"/>
    </row>
    <row r="118" spans="1:71" ht="15.75" customHeight="1" x14ac:dyDescent="0.15">
      <c r="C118" s="393"/>
      <c r="D118" s="394"/>
      <c r="E118" s="394"/>
      <c r="F118" s="394"/>
      <c r="G118" s="394"/>
      <c r="H118" s="394"/>
      <c r="I118" s="394"/>
      <c r="J118" s="394"/>
      <c r="K118" s="394"/>
      <c r="L118" s="394"/>
      <c r="M118" s="394"/>
      <c r="N118" s="394"/>
      <c r="O118" s="394"/>
      <c r="P118" s="394"/>
      <c r="Q118" s="394"/>
      <c r="R118" s="394"/>
      <c r="S118" s="394"/>
      <c r="T118" s="394"/>
      <c r="U118" s="394"/>
      <c r="V118" s="394"/>
      <c r="W118" s="394"/>
      <c r="X118" s="394"/>
      <c r="Y118" s="394"/>
      <c r="Z118" s="394"/>
      <c r="AA118" s="394"/>
      <c r="AB118" s="291"/>
      <c r="AC118" s="151"/>
      <c r="AD118" s="151"/>
      <c r="AE118" s="151"/>
      <c r="AF118" s="151"/>
      <c r="AG118" s="292"/>
      <c r="AH118" s="151"/>
      <c r="AI118" s="151"/>
      <c r="AJ118" s="151"/>
      <c r="AK118" s="151"/>
      <c r="AL118" s="151"/>
      <c r="AM118" s="151"/>
      <c r="AN118" s="151"/>
      <c r="AO118" s="151"/>
      <c r="AP118" s="151"/>
      <c r="AQ118" s="151"/>
      <c r="AR118" s="151"/>
      <c r="AS118" s="151"/>
      <c r="AT118" s="151"/>
      <c r="AU118" s="151"/>
      <c r="AV118" s="151"/>
      <c r="AW118" s="151"/>
      <c r="AX118" s="151"/>
      <c r="AY118" s="151"/>
      <c r="BA118" s="457"/>
      <c r="BB118" s="109"/>
      <c r="BC118" s="109"/>
      <c r="BD118" s="109"/>
      <c r="BE118" s="109"/>
      <c r="BF118" s="109"/>
      <c r="BG118" s="109"/>
      <c r="BH118" s="109"/>
      <c r="BI118" s="109"/>
      <c r="BJ118" s="109"/>
      <c r="BK118" s="109"/>
      <c r="BL118" s="109"/>
      <c r="BM118" s="109"/>
      <c r="BN118" s="109"/>
      <c r="BO118" s="109"/>
      <c r="BP118" s="109"/>
      <c r="BQ118" s="109"/>
      <c r="BR118" s="109"/>
      <c r="BS118" s="109"/>
    </row>
    <row r="119" spans="1:71" ht="15.75" customHeight="1" x14ac:dyDescent="0.15">
      <c r="C119" s="393"/>
      <c r="D119" s="394"/>
      <c r="E119" s="394"/>
      <c r="F119" s="394"/>
      <c r="G119" s="394"/>
      <c r="H119" s="394"/>
      <c r="I119" s="394"/>
      <c r="J119" s="394"/>
      <c r="K119" s="394"/>
      <c r="L119" s="394"/>
      <c r="M119" s="394"/>
      <c r="N119" s="394"/>
      <c r="O119" s="394"/>
      <c r="P119" s="394"/>
      <c r="Q119" s="394"/>
      <c r="R119" s="394"/>
      <c r="S119" s="394"/>
      <c r="T119" s="394"/>
      <c r="U119" s="394"/>
      <c r="V119" s="394"/>
      <c r="W119" s="394"/>
      <c r="X119" s="394"/>
      <c r="Y119" s="394"/>
      <c r="Z119" s="394"/>
      <c r="AA119" s="394"/>
      <c r="AB119" s="291"/>
      <c r="AC119" s="151"/>
      <c r="AD119" s="151"/>
      <c r="AE119" s="151"/>
      <c r="AF119" s="151"/>
      <c r="AG119" s="292"/>
      <c r="AH119" s="151"/>
      <c r="AI119" s="151"/>
      <c r="AJ119" s="151"/>
      <c r="AK119" s="151"/>
      <c r="AL119" s="151"/>
      <c r="AM119" s="151"/>
      <c r="AN119" s="151"/>
      <c r="AO119" s="151"/>
      <c r="AP119" s="151"/>
      <c r="AQ119" s="151"/>
      <c r="AR119" s="151"/>
      <c r="AS119" s="151"/>
      <c r="AT119" s="151"/>
      <c r="AU119" s="151"/>
      <c r="AV119" s="151"/>
      <c r="AW119" s="151"/>
      <c r="AX119" s="151"/>
      <c r="AY119" s="151"/>
    </row>
    <row r="120" spans="1:71" ht="15.75" customHeight="1" x14ac:dyDescent="0.15">
      <c r="C120" s="395"/>
      <c r="D120" s="396"/>
      <c r="E120" s="396"/>
      <c r="F120" s="396"/>
      <c r="G120" s="396"/>
      <c r="H120" s="396"/>
      <c r="I120" s="396"/>
      <c r="J120" s="396"/>
      <c r="K120" s="396"/>
      <c r="L120" s="396"/>
      <c r="M120" s="396"/>
      <c r="N120" s="396"/>
      <c r="O120" s="396"/>
      <c r="P120" s="396"/>
      <c r="Q120" s="396"/>
      <c r="R120" s="396"/>
      <c r="S120" s="396"/>
      <c r="T120" s="396"/>
      <c r="U120" s="396"/>
      <c r="V120" s="396"/>
      <c r="W120" s="396"/>
      <c r="X120" s="396"/>
      <c r="Y120" s="396"/>
      <c r="Z120" s="396"/>
      <c r="AA120" s="396"/>
      <c r="AB120" s="291"/>
      <c r="AC120" s="151"/>
      <c r="AD120" s="151"/>
      <c r="AE120" s="151"/>
      <c r="AF120" s="151"/>
      <c r="AG120" s="292"/>
      <c r="AH120" s="151"/>
      <c r="AI120" s="151"/>
      <c r="AJ120" s="151"/>
      <c r="AK120" s="151"/>
      <c r="AL120" s="151"/>
      <c r="AM120" s="151"/>
      <c r="AN120" s="151"/>
      <c r="AO120" s="151"/>
      <c r="AP120" s="151"/>
      <c r="AQ120" s="151"/>
      <c r="AR120" s="151"/>
      <c r="AS120" s="151"/>
      <c r="AT120" s="151"/>
      <c r="AU120" s="151"/>
      <c r="AV120" s="151"/>
      <c r="AW120" s="151"/>
      <c r="AX120" s="151"/>
      <c r="AY120" s="151"/>
    </row>
    <row r="121" spans="1:71" ht="15.75" customHeight="1" x14ac:dyDescent="0.15"/>
    <row r="122" spans="1:71" ht="15.75" customHeight="1" x14ac:dyDescent="0.15"/>
    <row r="123" spans="1:71" ht="15.75" customHeight="1" x14ac:dyDescent="0.15">
      <c r="C123" s="373" t="s">
        <v>326</v>
      </c>
      <c r="D123" s="374"/>
      <c r="E123" s="374"/>
      <c r="F123" s="374"/>
      <c r="G123" s="374"/>
      <c r="H123" s="374"/>
      <c r="I123" s="374"/>
      <c r="J123" s="374"/>
      <c r="K123" s="374"/>
      <c r="L123" s="374"/>
      <c r="M123" s="374"/>
      <c r="N123" s="374"/>
      <c r="O123" s="375"/>
      <c r="P123" s="85"/>
      <c r="Q123" s="85"/>
      <c r="R123" s="85"/>
      <c r="S123" s="85"/>
      <c r="T123" s="85"/>
      <c r="U123" s="85"/>
      <c r="V123" s="85"/>
      <c r="W123" s="85"/>
      <c r="X123" s="85"/>
      <c r="Y123" s="85"/>
      <c r="Z123" s="85"/>
      <c r="AA123" s="272"/>
      <c r="AB123" s="85"/>
      <c r="AC123" s="85"/>
      <c r="AD123" s="85"/>
      <c r="AE123" s="85"/>
      <c r="AF123" s="85"/>
      <c r="AG123" s="85"/>
      <c r="AH123" s="85"/>
      <c r="AI123" s="85"/>
      <c r="AJ123" s="85"/>
      <c r="AK123" s="85"/>
      <c r="AL123" s="85"/>
      <c r="AM123" s="85"/>
      <c r="AN123" s="85"/>
      <c r="AO123" s="85"/>
      <c r="AP123" s="85"/>
      <c r="AQ123" s="85"/>
      <c r="AR123" s="85"/>
      <c r="AS123" s="85"/>
      <c r="AT123" s="85"/>
      <c r="AU123" s="85"/>
      <c r="AV123" s="85"/>
      <c r="AW123" s="85"/>
      <c r="AX123" s="85"/>
      <c r="AY123" s="85"/>
    </row>
    <row r="124" spans="1:71" ht="15.75" customHeight="1" x14ac:dyDescent="0.15">
      <c r="C124" s="241" t="s">
        <v>110</v>
      </c>
      <c r="D124" s="376" t="s">
        <v>256</v>
      </c>
      <c r="E124" s="377"/>
      <c r="F124" s="376" t="s">
        <v>314</v>
      </c>
      <c r="G124" s="377"/>
      <c r="H124" s="376" t="s">
        <v>302</v>
      </c>
      <c r="I124" s="377"/>
      <c r="J124" s="376" t="s">
        <v>303</v>
      </c>
      <c r="K124" s="377"/>
      <c r="L124" s="376" t="s">
        <v>305</v>
      </c>
      <c r="M124" s="377"/>
      <c r="N124" s="376" t="s">
        <v>330</v>
      </c>
      <c r="O124" s="377"/>
      <c r="P124" s="51"/>
      <c r="Q124" s="51"/>
      <c r="R124" s="51"/>
      <c r="S124" s="273"/>
      <c r="T124" s="51"/>
      <c r="U124" s="51"/>
      <c r="V124" s="51"/>
      <c r="W124" s="273"/>
      <c r="X124" s="51"/>
      <c r="Y124" s="51"/>
      <c r="Z124" s="51"/>
      <c r="AA124" s="273"/>
      <c r="AB124" s="51"/>
      <c r="AC124" s="51"/>
      <c r="AD124" s="51"/>
      <c r="AE124" s="51"/>
      <c r="AF124" s="51"/>
      <c r="AG124" s="273"/>
      <c r="AH124" s="51"/>
      <c r="AI124" s="51"/>
      <c r="AJ124" s="51"/>
      <c r="AK124" s="51"/>
      <c r="AL124" s="51"/>
      <c r="AM124" s="273"/>
      <c r="AN124" s="51"/>
      <c r="AO124" s="51"/>
      <c r="AP124" s="51"/>
      <c r="AQ124" s="101"/>
      <c r="AR124" s="101"/>
      <c r="AS124" s="101"/>
      <c r="AT124" s="51"/>
      <c r="AU124" s="51"/>
      <c r="AV124" s="51"/>
      <c r="AW124" s="104"/>
      <c r="AX124" s="104"/>
      <c r="AY124" s="104"/>
    </row>
    <row r="125" spans="1:71" ht="15.75" customHeight="1" x14ac:dyDescent="0.15">
      <c r="C125" s="238" t="str">
        <f>IF(D64&lt;&gt;"",D64,"")</f>
        <v/>
      </c>
      <c r="D125" s="384" t="str">
        <f>IF(H64&lt;&gt;"",IF(H64&gt;リスト!$K2,リスト!$K2,H64),"")</f>
        <v/>
      </c>
      <c r="E125" s="385"/>
      <c r="F125" s="384" t="str">
        <f>IF(N64&lt;&gt;"",IF(N64&gt;リスト!$K4,リスト!$K4,N64),"")</f>
        <v/>
      </c>
      <c r="G125" s="385"/>
      <c r="H125" s="388" t="str">
        <f>IF(T64&lt;&gt;"",IF(T64&gt;リスト!$K4,リスト!$K4,T64),"")</f>
        <v/>
      </c>
      <c r="I125" s="388"/>
      <c r="J125" s="384" t="str">
        <f>IF(H68&lt;&gt;"",IF(H68&gt;リスト!$K8,リスト!$K8,H68),"")</f>
        <v/>
      </c>
      <c r="K125" s="385"/>
      <c r="L125" s="384" t="str">
        <f>IF(N68&lt;&gt;"",IF(N68&gt;リスト!$K10,リスト!$K10,N68),"")</f>
        <v/>
      </c>
      <c r="M125" s="385"/>
      <c r="N125" s="384" t="str">
        <f>IF(T68&lt;&gt;"",IF(T68&gt;リスト!$K12,リスト!$K12,T68),"")</f>
        <v/>
      </c>
      <c r="O125" s="385"/>
      <c r="P125" s="261"/>
      <c r="Q125" s="261"/>
      <c r="R125" s="261"/>
      <c r="S125" s="262"/>
      <c r="T125" s="261"/>
      <c r="U125" s="261"/>
      <c r="V125" s="261"/>
      <c r="W125" s="262"/>
      <c r="X125" s="261"/>
      <c r="Y125" s="261"/>
      <c r="Z125" s="261"/>
      <c r="AA125" s="262"/>
      <c r="AG125" s="53"/>
      <c r="AM125" s="53"/>
      <c r="BA125" s="472"/>
      <c r="BB125" s="472"/>
      <c r="BC125" s="472"/>
      <c r="BD125" s="472"/>
      <c r="BE125" s="472"/>
      <c r="BF125" s="472"/>
      <c r="BG125" s="472"/>
      <c r="BH125" s="472"/>
      <c r="BI125" s="472"/>
      <c r="BJ125" s="472"/>
      <c r="BK125" s="85"/>
      <c r="BL125" s="85"/>
      <c r="BM125" s="85"/>
      <c r="BN125" s="85"/>
      <c r="BO125" s="85"/>
      <c r="BP125" s="85"/>
      <c r="BQ125" s="85"/>
      <c r="BR125" s="85"/>
      <c r="BS125" s="85"/>
    </row>
    <row r="126" spans="1:71" ht="15.75" customHeight="1" x14ac:dyDescent="0.15">
      <c r="C126" s="239" t="str">
        <f>IF(D65&lt;&gt;"",D65,"")</f>
        <v/>
      </c>
      <c r="D126" s="386" t="str">
        <f>IF(H65&lt;&gt;"",IF(H65&gt;リスト!$K3,リスト!$K3,H65),"")</f>
        <v/>
      </c>
      <c r="E126" s="387"/>
      <c r="F126" s="386" t="str">
        <f>IF(N65&lt;&gt;"",IF(N65&gt;リスト!$K5,リスト!$K5,N65),"")</f>
        <v/>
      </c>
      <c r="G126" s="387"/>
      <c r="H126" s="389" t="str">
        <f>IF(T65&lt;&gt;"",IF(T65&gt;リスト!$K5,リスト!$K5,T65),"")</f>
        <v/>
      </c>
      <c r="I126" s="390"/>
      <c r="J126" s="386" t="str">
        <f>IF(H69&lt;&gt;"",IF(H69&gt;リスト!$K9,リスト!$K9,H69),"")</f>
        <v/>
      </c>
      <c r="K126" s="387"/>
      <c r="L126" s="386" t="str">
        <f>IF(N69&lt;&gt;"",IF(N69&gt;リスト!$K11,リスト!$K11,N69),"")</f>
        <v/>
      </c>
      <c r="M126" s="387"/>
      <c r="N126" s="386" t="str">
        <f>IF(T69&lt;&gt;"",IF(T69&gt;リスト!$K13,リスト!$K13,T69),"")</f>
        <v/>
      </c>
      <c r="O126" s="387"/>
      <c r="P126" s="261"/>
      <c r="Q126" s="261"/>
      <c r="R126" s="261"/>
      <c r="S126" s="262"/>
      <c r="T126" s="261"/>
      <c r="U126" s="261"/>
      <c r="V126" s="261"/>
      <c r="W126" s="262"/>
      <c r="X126" s="261"/>
      <c r="Y126" s="261"/>
      <c r="Z126" s="261"/>
      <c r="AA126" s="262"/>
      <c r="AG126" s="53"/>
      <c r="AM126" s="53"/>
      <c r="BA126" s="273"/>
      <c r="BB126" s="273"/>
      <c r="BC126" s="273"/>
      <c r="BD126" s="273"/>
      <c r="BE126" s="273"/>
      <c r="BF126" s="273"/>
      <c r="BG126" s="273"/>
      <c r="BH126" s="273"/>
      <c r="BI126" s="273"/>
      <c r="BJ126" s="273"/>
      <c r="BK126" s="250"/>
      <c r="BL126" s="250"/>
      <c r="BM126" s="250"/>
      <c r="BN126" s="250"/>
      <c r="BO126" s="250"/>
      <c r="BP126" s="250"/>
      <c r="BQ126" s="250"/>
      <c r="BR126" s="250"/>
      <c r="BS126" s="250"/>
    </row>
    <row r="127" spans="1:71" ht="15.75" customHeight="1" x14ac:dyDescent="0.15">
      <c r="C127" s="373" t="s">
        <v>293</v>
      </c>
      <c r="D127" s="374"/>
      <c r="E127" s="374"/>
      <c r="F127" s="374"/>
      <c r="G127" s="374"/>
      <c r="H127" s="374"/>
      <c r="I127" s="374"/>
      <c r="J127" s="374"/>
      <c r="K127" s="374"/>
      <c r="L127" s="374"/>
      <c r="M127" s="374"/>
      <c r="N127" s="374"/>
      <c r="O127" s="375"/>
      <c r="P127" s="85"/>
      <c r="Q127" s="85"/>
      <c r="R127" s="85"/>
      <c r="S127" s="85"/>
      <c r="T127" s="85"/>
      <c r="U127" s="85"/>
      <c r="V127" s="85"/>
      <c r="W127" s="85"/>
      <c r="X127" s="85"/>
      <c r="Y127" s="85"/>
      <c r="Z127" s="85"/>
      <c r="AA127" s="272"/>
      <c r="AB127" s="85"/>
      <c r="AC127" s="85"/>
      <c r="AD127" s="85"/>
      <c r="AE127" s="85"/>
      <c r="AF127" s="85"/>
      <c r="AG127" s="85"/>
      <c r="AH127" s="85"/>
      <c r="AI127" s="85"/>
      <c r="AJ127" s="85"/>
      <c r="AK127" s="85"/>
    </row>
    <row r="128" spans="1:71" ht="15.75" customHeight="1" x14ac:dyDescent="0.15">
      <c r="C128" s="241" t="s">
        <v>110</v>
      </c>
      <c r="D128" s="376" t="s">
        <v>256</v>
      </c>
      <c r="E128" s="377"/>
      <c r="F128" s="376" t="s">
        <v>314</v>
      </c>
      <c r="G128" s="377"/>
      <c r="H128" s="376" t="s">
        <v>302</v>
      </c>
      <c r="I128" s="377"/>
      <c r="J128" s="376" t="s">
        <v>303</v>
      </c>
      <c r="K128" s="377"/>
      <c r="L128" s="376" t="s">
        <v>305</v>
      </c>
      <c r="M128" s="377"/>
      <c r="N128" s="376" t="s">
        <v>330</v>
      </c>
      <c r="O128" s="377"/>
      <c r="P128" s="51"/>
      <c r="Q128" s="51"/>
      <c r="R128" s="51"/>
      <c r="S128" s="273"/>
      <c r="T128" s="51"/>
      <c r="U128" s="51"/>
      <c r="V128" s="51"/>
      <c r="W128" s="273"/>
      <c r="X128" s="51"/>
      <c r="Y128" s="51"/>
      <c r="Z128" s="51"/>
      <c r="AA128" s="273"/>
      <c r="AB128" s="51"/>
      <c r="AC128" s="51"/>
      <c r="AD128" s="51"/>
      <c r="AE128" s="51"/>
      <c r="AF128" s="51"/>
      <c r="AG128" s="51"/>
      <c r="AH128" s="51"/>
      <c r="AI128" s="51"/>
      <c r="AJ128" s="51"/>
      <c r="AK128" s="51"/>
    </row>
    <row r="129" spans="3:51" ht="15.75" customHeight="1" x14ac:dyDescent="0.15">
      <c r="C129" s="238" t="str">
        <f>IF(J76&lt;&gt;"",J76,"")</f>
        <v/>
      </c>
      <c r="D129" s="384" t="str">
        <f>N76</f>
        <v/>
      </c>
      <c r="E129" s="385"/>
      <c r="F129" s="384" t="str">
        <f>T76</f>
        <v/>
      </c>
      <c r="G129" s="385"/>
      <c r="H129" s="384" t="str">
        <f>Z76</f>
        <v/>
      </c>
      <c r="I129" s="385"/>
      <c r="J129" s="384" t="str">
        <f>N80</f>
        <v/>
      </c>
      <c r="K129" s="385"/>
      <c r="L129" s="384" t="str">
        <f>T80</f>
        <v/>
      </c>
      <c r="M129" s="385"/>
      <c r="N129" s="384" t="str">
        <f>Z80</f>
        <v/>
      </c>
      <c r="O129" s="385"/>
      <c r="P129" s="261"/>
      <c r="Q129" s="261"/>
      <c r="R129" s="261"/>
      <c r="S129" s="262"/>
      <c r="T129" s="261"/>
      <c r="U129" s="261"/>
      <c r="V129" s="261"/>
      <c r="W129" s="262"/>
      <c r="X129" s="261"/>
      <c r="Y129" s="261"/>
      <c r="Z129" s="261"/>
      <c r="AA129" s="262"/>
    </row>
    <row r="130" spans="3:51" ht="15.75" customHeight="1" x14ac:dyDescent="0.15">
      <c r="C130" s="239" t="str">
        <f>IF(J77&lt;&gt;"",J77,"")</f>
        <v/>
      </c>
      <c r="D130" s="386" t="str">
        <f>N77</f>
        <v/>
      </c>
      <c r="E130" s="387"/>
      <c r="F130" s="386" t="str">
        <f>T77</f>
        <v/>
      </c>
      <c r="G130" s="387"/>
      <c r="H130" s="386" t="str">
        <f>Z77</f>
        <v/>
      </c>
      <c r="I130" s="387"/>
      <c r="J130" s="386" t="str">
        <f>N81</f>
        <v/>
      </c>
      <c r="K130" s="387"/>
      <c r="L130" s="386" t="str">
        <f>T81</f>
        <v/>
      </c>
      <c r="M130" s="387"/>
      <c r="N130" s="386" t="str">
        <f>Z81</f>
        <v/>
      </c>
      <c r="O130" s="387"/>
      <c r="P130" s="261"/>
      <c r="Q130" s="261"/>
      <c r="R130" s="261"/>
      <c r="S130" s="262"/>
      <c r="T130" s="261"/>
      <c r="U130" s="261"/>
      <c r="V130" s="261"/>
      <c r="W130" s="262"/>
      <c r="X130" s="261"/>
      <c r="Y130" s="261"/>
      <c r="Z130" s="261"/>
      <c r="AA130" s="262"/>
    </row>
    <row r="131" spans="3:51" ht="15.75" customHeight="1" x14ac:dyDescent="0.15">
      <c r="C131" s="238" t="str">
        <f>IF(J84&lt;&gt;"",J84,"")</f>
        <v/>
      </c>
      <c r="D131" s="384" t="str">
        <f>N84</f>
        <v/>
      </c>
      <c r="E131" s="385"/>
      <c r="F131" s="384" t="str">
        <f>T84</f>
        <v/>
      </c>
      <c r="G131" s="385"/>
      <c r="H131" s="384" t="str">
        <f>Z84</f>
        <v/>
      </c>
      <c r="I131" s="385"/>
      <c r="J131" s="384" t="str">
        <f>N88</f>
        <v/>
      </c>
      <c r="K131" s="385"/>
      <c r="L131" s="384" t="str">
        <f>T88</f>
        <v/>
      </c>
      <c r="M131" s="385"/>
      <c r="N131" s="384" t="str">
        <f>Z88</f>
        <v/>
      </c>
      <c r="O131" s="385"/>
      <c r="P131" s="261"/>
      <c r="Q131" s="261"/>
      <c r="R131" s="261"/>
      <c r="S131" s="262"/>
      <c r="T131" s="261"/>
      <c r="U131" s="261"/>
      <c r="V131" s="261"/>
      <c r="W131" s="262"/>
      <c r="X131" s="261"/>
      <c r="Y131" s="261"/>
      <c r="Z131" s="261"/>
      <c r="AA131" s="262"/>
    </row>
    <row r="132" spans="3:51" ht="15.75" customHeight="1" x14ac:dyDescent="0.15">
      <c r="C132" s="239" t="str">
        <f>IF(J85&lt;&gt;"",J85,"")</f>
        <v/>
      </c>
      <c r="D132" s="386" t="str">
        <f>N85</f>
        <v/>
      </c>
      <c r="E132" s="387"/>
      <c r="F132" s="386" t="str">
        <f>T85</f>
        <v/>
      </c>
      <c r="G132" s="387"/>
      <c r="H132" s="386" t="str">
        <f>Z85</f>
        <v/>
      </c>
      <c r="I132" s="387"/>
      <c r="J132" s="386" t="str">
        <f>N89</f>
        <v/>
      </c>
      <c r="K132" s="387"/>
      <c r="L132" s="386" t="str">
        <f>T89</f>
        <v/>
      </c>
      <c r="M132" s="387"/>
      <c r="N132" s="386" t="str">
        <f>Z89</f>
        <v/>
      </c>
      <c r="O132" s="387"/>
      <c r="P132" s="261"/>
      <c r="Q132" s="261"/>
      <c r="R132" s="261"/>
      <c r="S132" s="262"/>
      <c r="T132" s="261"/>
      <c r="U132" s="261"/>
      <c r="V132" s="261"/>
      <c r="W132" s="262"/>
      <c r="X132" s="261"/>
      <c r="Y132" s="261"/>
      <c r="Z132" s="261"/>
      <c r="AA132" s="262"/>
    </row>
    <row r="133" spans="3:51" ht="15.75" customHeight="1" x14ac:dyDescent="0.15">
      <c r="C133" s="373" t="s">
        <v>294</v>
      </c>
      <c r="D133" s="374"/>
      <c r="E133" s="374"/>
      <c r="F133" s="374"/>
      <c r="G133" s="374"/>
      <c r="H133" s="374"/>
      <c r="I133" s="374"/>
      <c r="J133" s="374"/>
      <c r="K133" s="374"/>
      <c r="L133" s="374"/>
      <c r="M133" s="374"/>
      <c r="N133" s="374"/>
      <c r="O133" s="375"/>
      <c r="P133" s="85"/>
      <c r="Q133" s="85"/>
      <c r="R133" s="85"/>
      <c r="S133" s="85"/>
      <c r="T133" s="85"/>
      <c r="U133" s="85"/>
      <c r="V133" s="85"/>
      <c r="W133" s="85"/>
      <c r="X133" s="85"/>
      <c r="Y133" s="85"/>
      <c r="Z133" s="85"/>
      <c r="AA133" s="272"/>
      <c r="AB133" s="85"/>
      <c r="AC133" s="85"/>
      <c r="AD133" s="85"/>
      <c r="AE133" s="85"/>
      <c r="AF133" s="85"/>
      <c r="AG133" s="85"/>
      <c r="AH133" s="85"/>
      <c r="AI133" s="85"/>
      <c r="AJ133" s="85"/>
      <c r="AK133" s="85"/>
      <c r="AL133" s="85"/>
      <c r="AM133" s="85"/>
      <c r="AN133" s="85"/>
      <c r="AO133" s="85"/>
      <c r="AP133" s="85"/>
      <c r="AQ133" s="85"/>
      <c r="AR133" s="85"/>
      <c r="AS133" s="85"/>
      <c r="AT133" s="85"/>
      <c r="AU133" s="85"/>
      <c r="AV133" s="248"/>
      <c r="AW133" s="248"/>
    </row>
    <row r="134" spans="3:51" ht="15.75" x14ac:dyDescent="0.15">
      <c r="C134" s="259" t="s">
        <v>110</v>
      </c>
      <c r="D134" s="376" t="s">
        <v>256</v>
      </c>
      <c r="E134" s="377"/>
      <c r="F134" s="376" t="s">
        <v>314</v>
      </c>
      <c r="G134" s="377"/>
      <c r="H134" s="376" t="s">
        <v>302</v>
      </c>
      <c r="I134" s="377"/>
      <c r="J134" s="376" t="s">
        <v>303</v>
      </c>
      <c r="K134" s="377"/>
      <c r="L134" s="376" t="s">
        <v>305</v>
      </c>
      <c r="M134" s="377"/>
      <c r="N134" s="376" t="s">
        <v>330</v>
      </c>
      <c r="O134" s="377"/>
      <c r="P134" s="51"/>
      <c r="Q134" s="51"/>
      <c r="R134" s="51"/>
      <c r="S134" s="273"/>
      <c r="T134" s="51"/>
      <c r="U134" s="51"/>
      <c r="V134" s="51"/>
      <c r="W134" s="273"/>
      <c r="X134" s="51"/>
      <c r="Y134" s="51"/>
      <c r="Z134" s="51"/>
      <c r="AA134" s="273"/>
      <c r="AB134" s="51"/>
      <c r="AC134" s="51"/>
      <c r="AD134" s="51"/>
      <c r="AE134" s="51"/>
      <c r="AF134" s="51"/>
      <c r="AG134" s="51"/>
      <c r="AH134" s="51"/>
      <c r="AI134" s="51"/>
      <c r="AJ134" s="51"/>
      <c r="AK134" s="51"/>
      <c r="AL134" s="51"/>
      <c r="AM134" s="273"/>
      <c r="AN134" s="51"/>
      <c r="AO134" s="51"/>
      <c r="AP134" s="51"/>
      <c r="AQ134" s="51"/>
      <c r="AR134" s="51"/>
      <c r="AS134" s="51"/>
      <c r="AT134" s="273"/>
      <c r="AU134" s="273"/>
      <c r="AV134" s="249"/>
      <c r="AW134" s="249"/>
      <c r="AY134" s="248"/>
    </row>
    <row r="135" spans="3:51" ht="15.75" x14ac:dyDescent="0.15">
      <c r="C135" s="260"/>
      <c r="D135" s="106" t="s">
        <v>300</v>
      </c>
      <c r="E135" s="106" t="s">
        <v>293</v>
      </c>
      <c r="F135" s="106" t="s">
        <v>300</v>
      </c>
      <c r="G135" s="106" t="s">
        <v>293</v>
      </c>
      <c r="H135" s="106" t="s">
        <v>300</v>
      </c>
      <c r="I135" s="106" t="s">
        <v>293</v>
      </c>
      <c r="J135" s="106" t="s">
        <v>300</v>
      </c>
      <c r="K135" s="106" t="s">
        <v>293</v>
      </c>
      <c r="L135" s="106" t="s">
        <v>300</v>
      </c>
      <c r="M135" s="106" t="s">
        <v>293</v>
      </c>
      <c r="N135" s="106" t="s">
        <v>300</v>
      </c>
      <c r="O135" s="106" t="s">
        <v>293</v>
      </c>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250"/>
      <c r="AT135" s="101"/>
      <c r="AU135" s="101"/>
      <c r="AV135" s="251"/>
      <c r="AW135" s="251"/>
      <c r="AY135" s="251"/>
    </row>
    <row r="136" spans="3:51" ht="15.75" x14ac:dyDescent="0.15">
      <c r="C136" s="238" t="str">
        <f>IF(D100&lt;&gt;"",D100,"")</f>
        <v/>
      </c>
      <c r="D136" s="296" t="str">
        <f>IF(G100&lt;&gt;"",IF(G100&gt;リスト!$K14,リスト!$K14,G100),"")</f>
        <v/>
      </c>
      <c r="E136" s="296" t="str">
        <f>K100</f>
        <v/>
      </c>
      <c r="F136" s="296" t="str">
        <f>IF(O100&lt;&gt;"",IF(O100&gt;リスト!$K19,リスト!$K19,O100),"")</f>
        <v/>
      </c>
      <c r="G136" s="296" t="str">
        <f>S100</f>
        <v/>
      </c>
      <c r="H136" s="296" t="str">
        <f>IF(W100&lt;&gt;"",IF(W100&gt;リスト!$K24,リスト!$K24,W100),"")</f>
        <v/>
      </c>
      <c r="I136" s="296" t="str">
        <f>AA100</f>
        <v/>
      </c>
      <c r="J136" s="296" t="str">
        <f>IF(G108&lt;&gt;"",IF(G108&gt;リスト!$K29,リスト!$K29,G108),"")</f>
        <v/>
      </c>
      <c r="K136" s="296" t="str">
        <f>K108</f>
        <v/>
      </c>
      <c r="L136" s="296" t="str">
        <f>IF(O108&lt;&gt;"",IF(O108&gt;リスト!$K34,リスト!$K34,O108),"")</f>
        <v/>
      </c>
      <c r="M136" s="296" t="str">
        <f>S108</f>
        <v/>
      </c>
      <c r="N136" s="296" t="str">
        <f>IF(W108&lt;&gt;"",IF(W108&gt;リスト!$K39,リスト!$K39,W108),"")</f>
        <v/>
      </c>
      <c r="O136" s="296" t="str">
        <f>AA108</f>
        <v/>
      </c>
      <c r="P136" s="261"/>
      <c r="Q136" s="261"/>
      <c r="R136" s="261"/>
      <c r="S136" s="261"/>
      <c r="T136" s="261"/>
      <c r="U136" s="261"/>
      <c r="V136" s="261"/>
      <c r="W136" s="261"/>
      <c r="X136" s="261"/>
      <c r="Y136" s="261"/>
      <c r="Z136" s="261"/>
      <c r="AA136" s="261"/>
      <c r="AV136" s="251"/>
      <c r="AW136" s="251"/>
    </row>
    <row r="137" spans="3:51" ht="15.75" x14ac:dyDescent="0.15">
      <c r="C137" s="240" t="str">
        <f t="shared" ref="C137:C140" si="2">IF(D101&lt;&gt;"",D101,"")</f>
        <v/>
      </c>
      <c r="D137" s="297" t="str">
        <f>IF(G101&lt;&gt;"",IF(G101&gt;リスト!$K15,リスト!$K15,G101),"")</f>
        <v/>
      </c>
      <c r="E137" s="297" t="str">
        <f t="shared" ref="E137:E140" si="3">K101</f>
        <v/>
      </c>
      <c r="F137" s="297" t="str">
        <f>IF(O101&lt;&gt;"",IF(O101&gt;リスト!$K20,リスト!$K20,O101),"")</f>
        <v/>
      </c>
      <c r="G137" s="297" t="str">
        <f t="shared" ref="G137:G140" si="4">S101</f>
        <v/>
      </c>
      <c r="H137" s="297" t="str">
        <f>IF(W101&lt;&gt;"",IF(W101&gt;リスト!$K25,リスト!$K25,W101),"")</f>
        <v/>
      </c>
      <c r="I137" s="297" t="str">
        <f t="shared" ref="I137:I140" si="5">AA101</f>
        <v/>
      </c>
      <c r="J137" s="297" t="str">
        <f>IF(G109&lt;&gt;"",IF(G109&gt;リスト!$K30,リスト!$K30,G109),"")</f>
        <v/>
      </c>
      <c r="K137" s="297" t="str">
        <f t="shared" ref="K137:K140" si="6">K109</f>
        <v/>
      </c>
      <c r="L137" s="297" t="str">
        <f>IF(O109&lt;&gt;"",IF(O109&gt;リスト!$K35,リスト!$K35,O109),"")</f>
        <v/>
      </c>
      <c r="M137" s="297" t="str">
        <f t="shared" ref="M137:M140" si="7">S109</f>
        <v/>
      </c>
      <c r="N137" s="297" t="str">
        <f>IF(W109&lt;&gt;"",IF(W109&gt;リスト!$K40,リスト!$K40,W109),"")</f>
        <v/>
      </c>
      <c r="O137" s="297" t="str">
        <f t="shared" ref="O137:O140" si="8">AA109</f>
        <v/>
      </c>
      <c r="P137" s="261"/>
      <c r="Q137" s="261"/>
      <c r="R137" s="261"/>
      <c r="S137" s="261"/>
      <c r="T137" s="261"/>
      <c r="U137" s="261"/>
      <c r="V137" s="261"/>
      <c r="W137" s="261"/>
      <c r="X137" s="261"/>
      <c r="Y137" s="261"/>
      <c r="Z137" s="261"/>
      <c r="AA137" s="261"/>
      <c r="AV137" s="251"/>
      <c r="AW137" s="251"/>
    </row>
    <row r="138" spans="3:51" ht="15.75" x14ac:dyDescent="0.15">
      <c r="C138" s="240" t="str">
        <f t="shared" si="2"/>
        <v/>
      </c>
      <c r="D138" s="297" t="str">
        <f>IF(G102&lt;&gt;"",IF(G102&gt;リスト!$K16,リスト!$K16,G102),"")</f>
        <v/>
      </c>
      <c r="E138" s="297" t="str">
        <f t="shared" si="3"/>
        <v/>
      </c>
      <c r="F138" s="297" t="str">
        <f>IF(O102&lt;&gt;"",IF(O102&gt;リスト!$K21,リスト!$K21,O102),"")</f>
        <v/>
      </c>
      <c r="G138" s="297" t="str">
        <f t="shared" si="4"/>
        <v/>
      </c>
      <c r="H138" s="297" t="str">
        <f>IF(W102&lt;&gt;"",IF(W102&gt;リスト!$K26,リスト!$K26,W102),"")</f>
        <v/>
      </c>
      <c r="I138" s="297" t="str">
        <f t="shared" si="5"/>
        <v/>
      </c>
      <c r="J138" s="297" t="str">
        <f>IF(G110&lt;&gt;"",IF(G110&gt;リスト!$K31,リスト!$K31,G110),"")</f>
        <v/>
      </c>
      <c r="K138" s="297" t="str">
        <f t="shared" si="6"/>
        <v/>
      </c>
      <c r="L138" s="297" t="str">
        <f>IF(O110&lt;&gt;"",IF(O110&gt;リスト!$K36,リスト!$K36,O110),"")</f>
        <v/>
      </c>
      <c r="M138" s="297" t="str">
        <f t="shared" si="7"/>
        <v/>
      </c>
      <c r="N138" s="297" t="str">
        <f>IF(W110&lt;&gt;"",IF(W110&gt;リスト!$K41,リスト!$K41,W110),"")</f>
        <v/>
      </c>
      <c r="O138" s="297" t="str">
        <f t="shared" si="8"/>
        <v/>
      </c>
      <c r="P138" s="261"/>
      <c r="Q138" s="261"/>
      <c r="R138" s="261"/>
      <c r="S138" s="261"/>
      <c r="T138" s="261"/>
      <c r="U138" s="261"/>
      <c r="V138" s="261"/>
      <c r="W138" s="261"/>
      <c r="X138" s="261"/>
      <c r="Y138" s="261"/>
      <c r="Z138" s="261"/>
      <c r="AA138" s="261"/>
      <c r="AV138" s="251"/>
      <c r="AW138" s="251"/>
    </row>
    <row r="139" spans="3:51" ht="15.75" x14ac:dyDescent="0.15">
      <c r="C139" s="240" t="str">
        <f t="shared" si="2"/>
        <v/>
      </c>
      <c r="D139" s="297" t="str">
        <f>IF(G103&lt;&gt;"",IF(G103&gt;リスト!$K17,リスト!$K17,G103),"")</f>
        <v/>
      </c>
      <c r="E139" s="297" t="str">
        <f t="shared" si="3"/>
        <v/>
      </c>
      <c r="F139" s="297" t="str">
        <f>IF(O103&lt;&gt;"",IF(O103&gt;リスト!$K22,リスト!$K22,O103),"")</f>
        <v/>
      </c>
      <c r="G139" s="297" t="str">
        <f t="shared" si="4"/>
        <v/>
      </c>
      <c r="H139" s="297" t="str">
        <f>IF(W103&lt;&gt;"",IF(W103&gt;リスト!$K27,リスト!$K27,W103),"")</f>
        <v/>
      </c>
      <c r="I139" s="297" t="str">
        <f t="shared" si="5"/>
        <v/>
      </c>
      <c r="J139" s="297" t="str">
        <f>IF(G111&lt;&gt;"",IF(G111&gt;リスト!$K32,リスト!$K32,G111),"")</f>
        <v/>
      </c>
      <c r="K139" s="297" t="str">
        <f t="shared" si="6"/>
        <v/>
      </c>
      <c r="L139" s="297" t="str">
        <f>IF(O111&lt;&gt;"",IF(O111&gt;リスト!$K37,リスト!$K37,O111),"")</f>
        <v/>
      </c>
      <c r="M139" s="297" t="str">
        <f t="shared" si="7"/>
        <v/>
      </c>
      <c r="N139" s="297" t="str">
        <f>IF(W111&lt;&gt;"",IF(W111&gt;リスト!$K42,リスト!$K42,W111),"")</f>
        <v/>
      </c>
      <c r="O139" s="297" t="str">
        <f t="shared" si="8"/>
        <v/>
      </c>
      <c r="P139" s="261"/>
      <c r="Q139" s="261"/>
      <c r="R139" s="261"/>
      <c r="S139" s="261"/>
      <c r="T139" s="261"/>
      <c r="U139" s="261"/>
      <c r="V139" s="261"/>
      <c r="W139" s="261"/>
      <c r="X139" s="261"/>
      <c r="Y139" s="261"/>
      <c r="Z139" s="261"/>
      <c r="AA139" s="261"/>
      <c r="AV139" s="251"/>
      <c r="AW139" s="251"/>
    </row>
    <row r="140" spans="3:51" ht="15.75" x14ac:dyDescent="0.15">
      <c r="C140" s="239" t="str">
        <f t="shared" si="2"/>
        <v/>
      </c>
      <c r="D140" s="298" t="str">
        <f>IF(G104&lt;&gt;"",IF(G104&gt;リスト!$K18,リスト!$K18,G104),"")</f>
        <v/>
      </c>
      <c r="E140" s="298" t="str">
        <f t="shared" si="3"/>
        <v/>
      </c>
      <c r="F140" s="298" t="str">
        <f>IF(O104&lt;&gt;"",IF(O104&gt;リスト!$K23,リスト!$K23,O104),"")</f>
        <v/>
      </c>
      <c r="G140" s="298" t="str">
        <f t="shared" si="4"/>
        <v/>
      </c>
      <c r="H140" s="298" t="str">
        <f>IF(W104&lt;&gt;"",IF(W104&gt;リスト!$K28,リスト!$K28,W104),"")</f>
        <v/>
      </c>
      <c r="I140" s="298" t="str">
        <f t="shared" si="5"/>
        <v/>
      </c>
      <c r="J140" s="298" t="str">
        <f>IF(G112&lt;&gt;"",IF(G112&gt;リスト!$K33,リスト!$K33,G112),"")</f>
        <v/>
      </c>
      <c r="K140" s="298" t="str">
        <f t="shared" si="6"/>
        <v/>
      </c>
      <c r="L140" s="298" t="str">
        <f>IF(O112&lt;&gt;"",IF(O112&gt;リスト!$K38,リスト!$K38,O112),"")</f>
        <v/>
      </c>
      <c r="M140" s="298" t="str">
        <f t="shared" si="7"/>
        <v/>
      </c>
      <c r="N140" s="298" t="str">
        <f>IF(W112&lt;&gt;"",IF(W112&gt;リスト!$K43,リスト!$K43,W112),"")</f>
        <v/>
      </c>
      <c r="O140" s="298" t="str">
        <f t="shared" si="8"/>
        <v/>
      </c>
      <c r="P140" s="261"/>
      <c r="Q140" s="261"/>
      <c r="R140" s="261"/>
      <c r="S140" s="261"/>
      <c r="T140" s="261"/>
      <c r="U140" s="261"/>
      <c r="V140" s="261"/>
      <c r="W140" s="261"/>
      <c r="X140" s="261"/>
      <c r="Y140" s="261"/>
      <c r="Z140" s="261"/>
      <c r="AA140" s="261"/>
      <c r="AV140" s="251"/>
      <c r="AW140" s="251"/>
    </row>
    <row r="141" spans="3:51" ht="9.9499999999999993" customHeight="1" x14ac:dyDescent="0.15">
      <c r="C141" s="150"/>
    </row>
  </sheetData>
  <sheetProtection algorithmName="SHA-512" hashValue="RTyTVWBhlSsSjKv/kUb7oUBZuejS0mzWrSbNt+oU7e7+rZKZjJ0nIKgMkNTYUJNYE/d8A+uRhJMrjFkC9Vhnaw==" saltValue="si4m95x60QGSucrDcrwItw==" spinCount="100000" sheet="1" objects="1" scenarios="1"/>
  <mergeCells count="484">
    <mergeCell ref="C27:F28"/>
    <mergeCell ref="C26:F26"/>
    <mergeCell ref="G26:N26"/>
    <mergeCell ref="G27:N28"/>
    <mergeCell ref="O26:T26"/>
    <mergeCell ref="O27:T28"/>
    <mergeCell ref="J62:O62"/>
    <mergeCell ref="P62:U62"/>
    <mergeCell ref="H65:I65"/>
    <mergeCell ref="F63:G63"/>
    <mergeCell ref="F64:G64"/>
    <mergeCell ref="F65:G65"/>
    <mergeCell ref="K53:M53"/>
    <mergeCell ref="K54:M54"/>
    <mergeCell ref="K55:M55"/>
    <mergeCell ref="K56:M56"/>
    <mergeCell ref="K57:M57"/>
    <mergeCell ref="C29:T29"/>
    <mergeCell ref="C40:E41"/>
    <mergeCell ref="F40:H41"/>
    <mergeCell ref="I40:K40"/>
    <mergeCell ref="I41:K41"/>
    <mergeCell ref="L40:N40"/>
    <mergeCell ref="D63:E63"/>
    <mergeCell ref="D66:I66"/>
    <mergeCell ref="J66:O66"/>
    <mergeCell ref="P66:U66"/>
    <mergeCell ref="D67:E67"/>
    <mergeCell ref="F67:G67"/>
    <mergeCell ref="H67:I67"/>
    <mergeCell ref="J67:K67"/>
    <mergeCell ref="L67:M67"/>
    <mergeCell ref="N67:O67"/>
    <mergeCell ref="P67:Q67"/>
    <mergeCell ref="R67:S67"/>
    <mergeCell ref="T67:U67"/>
    <mergeCell ref="BA125:BJ125"/>
    <mergeCell ref="BA116:BS116"/>
    <mergeCell ref="BA117:BA118"/>
    <mergeCell ref="BB117:BC117"/>
    <mergeCell ref="BD117:BE117"/>
    <mergeCell ref="BF117:BG117"/>
    <mergeCell ref="BH117:BI117"/>
    <mergeCell ref="BJ117:BK117"/>
    <mergeCell ref="BL117:BM117"/>
    <mergeCell ref="BN117:BO117"/>
    <mergeCell ref="BP117:BQ117"/>
    <mergeCell ref="BR117:BS117"/>
    <mergeCell ref="BX72:BZ72"/>
    <mergeCell ref="BL72:BN72"/>
    <mergeCell ref="BO72:BQ72"/>
    <mergeCell ref="BR72:BT72"/>
    <mergeCell ref="BU72:BW72"/>
    <mergeCell ref="C35:D37"/>
    <mergeCell ref="C20:D22"/>
    <mergeCell ref="C17:D19"/>
    <mergeCell ref="Q8:R8"/>
    <mergeCell ref="Q9:R10"/>
    <mergeCell ref="S8:T8"/>
    <mergeCell ref="C32:D34"/>
    <mergeCell ref="BL64:BN64"/>
    <mergeCell ref="C62:C63"/>
    <mergeCell ref="D62:I62"/>
    <mergeCell ref="J63:K63"/>
    <mergeCell ref="J64:K64"/>
    <mergeCell ref="J65:K65"/>
    <mergeCell ref="L63:M63"/>
    <mergeCell ref="L64:M64"/>
    <mergeCell ref="P63:Q63"/>
    <mergeCell ref="P64:Q64"/>
    <mergeCell ref="P65:Q65"/>
    <mergeCell ref="H64:I64"/>
    <mergeCell ref="D64:E64"/>
    <mergeCell ref="D65:E65"/>
    <mergeCell ref="H63:I63"/>
    <mergeCell ref="T69:U69"/>
    <mergeCell ref="D68:E68"/>
    <mergeCell ref="F68:G68"/>
    <mergeCell ref="H68:I68"/>
    <mergeCell ref="C97:C99"/>
    <mergeCell ref="D98:H98"/>
    <mergeCell ref="T83:U83"/>
    <mergeCell ref="L84:M84"/>
    <mergeCell ref="L85:M85"/>
    <mergeCell ref="N83:O83"/>
    <mergeCell ref="N84:O84"/>
    <mergeCell ref="N85:O85"/>
    <mergeCell ref="P83:Q83"/>
    <mergeCell ref="L97:S97"/>
    <mergeCell ref="C83:I89"/>
    <mergeCell ref="N68:O68"/>
    <mergeCell ref="P68:Q68"/>
    <mergeCell ref="R68:S68"/>
    <mergeCell ref="T68:U68"/>
    <mergeCell ref="C66:C67"/>
    <mergeCell ref="R63:S63"/>
    <mergeCell ref="R64:S64"/>
    <mergeCell ref="R65:S65"/>
    <mergeCell ref="T63:U63"/>
    <mergeCell ref="T64:U64"/>
    <mergeCell ref="T65:U65"/>
    <mergeCell ref="P74:U74"/>
    <mergeCell ref="L65:M65"/>
    <mergeCell ref="N63:O63"/>
    <mergeCell ref="N64:O64"/>
    <mergeCell ref="N65:O65"/>
    <mergeCell ref="L69:M69"/>
    <mergeCell ref="N69:O69"/>
    <mergeCell ref="P69:Q69"/>
    <mergeCell ref="R69:S69"/>
    <mergeCell ref="I111:J111"/>
    <mergeCell ref="I112:J112"/>
    <mergeCell ref="D105:K105"/>
    <mergeCell ref="L105:S105"/>
    <mergeCell ref="L106:P106"/>
    <mergeCell ref="Q106:S106"/>
    <mergeCell ref="D101:E101"/>
    <mergeCell ref="D102:E102"/>
    <mergeCell ref="D103:E103"/>
    <mergeCell ref="D104:E104"/>
    <mergeCell ref="G101:H101"/>
    <mergeCell ref="G102:H102"/>
    <mergeCell ref="G103:H103"/>
    <mergeCell ref="G104:H104"/>
    <mergeCell ref="D106:H106"/>
    <mergeCell ref="I101:J101"/>
    <mergeCell ref="I102:J102"/>
    <mergeCell ref="I103:J103"/>
    <mergeCell ref="I104:J104"/>
    <mergeCell ref="I106:K106"/>
    <mergeCell ref="I107:J107"/>
    <mergeCell ref="I108:J108"/>
    <mergeCell ref="I109:J109"/>
    <mergeCell ref="I110:J110"/>
    <mergeCell ref="D129:E129"/>
    <mergeCell ref="F128:G128"/>
    <mergeCell ref="F129:G129"/>
    <mergeCell ref="H128:I128"/>
    <mergeCell ref="H129:I129"/>
    <mergeCell ref="C127:O127"/>
    <mergeCell ref="N128:O128"/>
    <mergeCell ref="N129:O129"/>
    <mergeCell ref="D130:E130"/>
    <mergeCell ref="N130:O130"/>
    <mergeCell ref="D128:E128"/>
    <mergeCell ref="D131:E131"/>
    <mergeCell ref="D132:E132"/>
    <mergeCell ref="F130:G130"/>
    <mergeCell ref="F131:G131"/>
    <mergeCell ref="F132:G132"/>
    <mergeCell ref="L131:M131"/>
    <mergeCell ref="L132:M132"/>
    <mergeCell ref="H130:I130"/>
    <mergeCell ref="H131:I131"/>
    <mergeCell ref="H132:I132"/>
    <mergeCell ref="N131:O131"/>
    <mergeCell ref="N132:O132"/>
    <mergeCell ref="C105:C107"/>
    <mergeCell ref="X77:Y77"/>
    <mergeCell ref="Z75:AA75"/>
    <mergeCell ref="Z76:AA76"/>
    <mergeCell ref="Z77:AA77"/>
    <mergeCell ref="L81:M81"/>
    <mergeCell ref="N81:O81"/>
    <mergeCell ref="P81:Q81"/>
    <mergeCell ref="R81:S81"/>
    <mergeCell ref="T81:U81"/>
    <mergeCell ref="V81:W81"/>
    <mergeCell ref="X79:Y79"/>
    <mergeCell ref="J83:K83"/>
    <mergeCell ref="J84:K84"/>
    <mergeCell ref="J85:K85"/>
    <mergeCell ref="J81:K81"/>
    <mergeCell ref="J86:O86"/>
    <mergeCell ref="L83:M83"/>
    <mergeCell ref="N75:O75"/>
    <mergeCell ref="N76:O76"/>
    <mergeCell ref="N77:O77"/>
    <mergeCell ref="P75:Q75"/>
    <mergeCell ref="J75:K75"/>
    <mergeCell ref="J76:K76"/>
    <mergeCell ref="J77:K77"/>
    <mergeCell ref="L75:M75"/>
    <mergeCell ref="L76:M76"/>
    <mergeCell ref="L77:M77"/>
    <mergeCell ref="C75:I81"/>
    <mergeCell ref="J68:K68"/>
    <mergeCell ref="L68:M68"/>
    <mergeCell ref="D69:E69"/>
    <mergeCell ref="F69:G69"/>
    <mergeCell ref="H69:I69"/>
    <mergeCell ref="J69:K69"/>
    <mergeCell ref="Z79:AA79"/>
    <mergeCell ref="Z80:AA80"/>
    <mergeCell ref="Z81:AA81"/>
    <mergeCell ref="J82:O82"/>
    <mergeCell ref="P82:U82"/>
    <mergeCell ref="V82:AA82"/>
    <mergeCell ref="P76:Q76"/>
    <mergeCell ref="P77:Q77"/>
    <mergeCell ref="R76:S76"/>
    <mergeCell ref="R77:S77"/>
    <mergeCell ref="T76:U76"/>
    <mergeCell ref="T77:U77"/>
    <mergeCell ref="V76:W76"/>
    <mergeCell ref="V77:W77"/>
    <mergeCell ref="R80:S80"/>
    <mergeCell ref="T79:U79"/>
    <mergeCell ref="T80:U80"/>
    <mergeCell ref="J78:O78"/>
    <mergeCell ref="P78:U78"/>
    <mergeCell ref="V78:AA78"/>
    <mergeCell ref="V79:W79"/>
    <mergeCell ref="V80:W80"/>
    <mergeCell ref="X75:Y75"/>
    <mergeCell ref="X76:Y76"/>
    <mergeCell ref="X80:Y80"/>
    <mergeCell ref="R75:S75"/>
    <mergeCell ref="T75:U75"/>
    <mergeCell ref="V75:W75"/>
    <mergeCell ref="X83:Y83"/>
    <mergeCell ref="X84:Y84"/>
    <mergeCell ref="X85:Y85"/>
    <mergeCell ref="X81:Y81"/>
    <mergeCell ref="Z83:AA83"/>
    <mergeCell ref="Z84:AA84"/>
    <mergeCell ref="Z85:AA85"/>
    <mergeCell ref="P86:U86"/>
    <mergeCell ref="V86:AA86"/>
    <mergeCell ref="J87:K87"/>
    <mergeCell ref="R87:S87"/>
    <mergeCell ref="Z87:AA87"/>
    <mergeCell ref="P84:Q84"/>
    <mergeCell ref="P85:Q85"/>
    <mergeCell ref="R83:S83"/>
    <mergeCell ref="R84:S84"/>
    <mergeCell ref="R85:S85"/>
    <mergeCell ref="T84:U84"/>
    <mergeCell ref="T85:U85"/>
    <mergeCell ref="V83:W83"/>
    <mergeCell ref="V84:W84"/>
    <mergeCell ref="V85:W85"/>
    <mergeCell ref="X87:Y87"/>
    <mergeCell ref="X88:Y88"/>
    <mergeCell ref="X89:Y89"/>
    <mergeCell ref="J88:K88"/>
    <mergeCell ref="J89:K89"/>
    <mergeCell ref="L87:M87"/>
    <mergeCell ref="L88:M88"/>
    <mergeCell ref="L89:M89"/>
    <mergeCell ref="N87:O87"/>
    <mergeCell ref="N88:O88"/>
    <mergeCell ref="N89:O89"/>
    <mergeCell ref="P87:Q87"/>
    <mergeCell ref="P88:Q88"/>
    <mergeCell ref="P89:Q89"/>
    <mergeCell ref="Q98:S98"/>
    <mergeCell ref="T99:U99"/>
    <mergeCell ref="T100:U100"/>
    <mergeCell ref="T98:X98"/>
    <mergeCell ref="Y98:AA98"/>
    <mergeCell ref="T97:AA97"/>
    <mergeCell ref="Q99:R99"/>
    <mergeCell ref="Q100:R100"/>
    <mergeCell ref="Y99:Z99"/>
    <mergeCell ref="Y100:Z100"/>
    <mergeCell ref="W99:X99"/>
    <mergeCell ref="W100:X100"/>
    <mergeCell ref="I98:K98"/>
    <mergeCell ref="D97:K97"/>
    <mergeCell ref="D99:E99"/>
    <mergeCell ref="D100:E100"/>
    <mergeCell ref="G99:H99"/>
    <mergeCell ref="G100:H100"/>
    <mergeCell ref="I99:J99"/>
    <mergeCell ref="I100:J100"/>
    <mergeCell ref="O99:P99"/>
    <mergeCell ref="O100:P100"/>
    <mergeCell ref="L98:P98"/>
    <mergeCell ref="L99:M99"/>
    <mergeCell ref="L100:M100"/>
    <mergeCell ref="L101:M101"/>
    <mergeCell ref="L102:M102"/>
    <mergeCell ref="L103:M103"/>
    <mergeCell ref="L104:M104"/>
    <mergeCell ref="Y101:Z101"/>
    <mergeCell ref="Y102:Z102"/>
    <mergeCell ref="Y103:Z103"/>
    <mergeCell ref="Y104:Z104"/>
    <mergeCell ref="T101:U101"/>
    <mergeCell ref="T102:U102"/>
    <mergeCell ref="T103:U103"/>
    <mergeCell ref="T104:U104"/>
    <mergeCell ref="Q101:R101"/>
    <mergeCell ref="Q102:R102"/>
    <mergeCell ref="Q103:R103"/>
    <mergeCell ref="Q104:R104"/>
    <mergeCell ref="W101:X101"/>
    <mergeCell ref="W102:X102"/>
    <mergeCell ref="W103:X103"/>
    <mergeCell ref="W104:X104"/>
    <mergeCell ref="O101:P101"/>
    <mergeCell ref="O102:P102"/>
    <mergeCell ref="O103:P103"/>
    <mergeCell ref="O104:P104"/>
    <mergeCell ref="Q112:R112"/>
    <mergeCell ref="L107:M107"/>
    <mergeCell ref="L108:M108"/>
    <mergeCell ref="L109:M109"/>
    <mergeCell ref="L110:M110"/>
    <mergeCell ref="L111:M111"/>
    <mergeCell ref="L112:M112"/>
    <mergeCell ref="O107:P107"/>
    <mergeCell ref="O108:P108"/>
    <mergeCell ref="O109:P109"/>
    <mergeCell ref="O110:P110"/>
    <mergeCell ref="O111:P111"/>
    <mergeCell ref="O112:P112"/>
    <mergeCell ref="T105:AA105"/>
    <mergeCell ref="T107:U107"/>
    <mergeCell ref="T108:U108"/>
    <mergeCell ref="T109:U109"/>
    <mergeCell ref="T110:U110"/>
    <mergeCell ref="T111:U111"/>
    <mergeCell ref="T112:U112"/>
    <mergeCell ref="Y106:AA106"/>
    <mergeCell ref="T106:X106"/>
    <mergeCell ref="W107:X107"/>
    <mergeCell ref="W108:X108"/>
    <mergeCell ref="W109:X109"/>
    <mergeCell ref="W110:X110"/>
    <mergeCell ref="W111:X111"/>
    <mergeCell ref="W112:X112"/>
    <mergeCell ref="C115:AA120"/>
    <mergeCell ref="Y107:Z107"/>
    <mergeCell ref="Y108:Z108"/>
    <mergeCell ref="Y109:Z109"/>
    <mergeCell ref="Y110:Z110"/>
    <mergeCell ref="Y111:Z111"/>
    <mergeCell ref="Y112:Z112"/>
    <mergeCell ref="D107:E107"/>
    <mergeCell ref="D108:E108"/>
    <mergeCell ref="D109:E109"/>
    <mergeCell ref="D110:E110"/>
    <mergeCell ref="D111:E111"/>
    <mergeCell ref="D112:E112"/>
    <mergeCell ref="G107:H107"/>
    <mergeCell ref="G108:H108"/>
    <mergeCell ref="G109:H109"/>
    <mergeCell ref="G110:H110"/>
    <mergeCell ref="G111:H111"/>
    <mergeCell ref="G112:H112"/>
    <mergeCell ref="Q107:R107"/>
    <mergeCell ref="Q108:R108"/>
    <mergeCell ref="Q109:R109"/>
    <mergeCell ref="Q110:R110"/>
    <mergeCell ref="Q111:R111"/>
    <mergeCell ref="J124:K124"/>
    <mergeCell ref="J125:K125"/>
    <mergeCell ref="J126:K126"/>
    <mergeCell ref="D124:E124"/>
    <mergeCell ref="D125:E125"/>
    <mergeCell ref="D126:E126"/>
    <mergeCell ref="F124:G124"/>
    <mergeCell ref="F125:G125"/>
    <mergeCell ref="F126:G126"/>
    <mergeCell ref="H124:I124"/>
    <mergeCell ref="H125:I125"/>
    <mergeCell ref="H126:I126"/>
    <mergeCell ref="L124:M124"/>
    <mergeCell ref="L125:M125"/>
    <mergeCell ref="L126:M126"/>
    <mergeCell ref="N124:O124"/>
    <mergeCell ref="N125:O125"/>
    <mergeCell ref="N126:O126"/>
    <mergeCell ref="L128:M128"/>
    <mergeCell ref="L129:M129"/>
    <mergeCell ref="L130:M130"/>
    <mergeCell ref="C123:O123"/>
    <mergeCell ref="C133:O133"/>
    <mergeCell ref="L134:M134"/>
    <mergeCell ref="N134:O134"/>
    <mergeCell ref="C8:F8"/>
    <mergeCell ref="G8:K8"/>
    <mergeCell ref="C9:F10"/>
    <mergeCell ref="G9:K10"/>
    <mergeCell ref="L8:P8"/>
    <mergeCell ref="L9:P10"/>
    <mergeCell ref="C15:T16"/>
    <mergeCell ref="E17:F17"/>
    <mergeCell ref="E18:F19"/>
    <mergeCell ref="G17:I17"/>
    <mergeCell ref="G18:I19"/>
    <mergeCell ref="D134:E134"/>
    <mergeCell ref="F134:G134"/>
    <mergeCell ref="H134:I134"/>
    <mergeCell ref="J134:K134"/>
    <mergeCell ref="J128:K128"/>
    <mergeCell ref="J129:K129"/>
    <mergeCell ref="J130:K130"/>
    <mergeCell ref="J131:K131"/>
    <mergeCell ref="J132:K132"/>
    <mergeCell ref="J17:P17"/>
    <mergeCell ref="J18:P19"/>
    <mergeCell ref="Q17:T17"/>
    <mergeCell ref="Q18:T19"/>
    <mergeCell ref="C4:H5"/>
    <mergeCell ref="S3:T3"/>
    <mergeCell ref="I3:M5"/>
    <mergeCell ref="C14:T14"/>
    <mergeCell ref="S9:T10"/>
    <mergeCell ref="C11:F11"/>
    <mergeCell ref="C12:F13"/>
    <mergeCell ref="G11:N11"/>
    <mergeCell ref="G12:N13"/>
    <mergeCell ref="O11:T11"/>
    <mergeCell ref="O12:T13"/>
    <mergeCell ref="E20:F20"/>
    <mergeCell ref="G20:I20"/>
    <mergeCell ref="J20:P20"/>
    <mergeCell ref="D52:G52"/>
    <mergeCell ref="D53:G53"/>
    <mergeCell ref="D54:G54"/>
    <mergeCell ref="D55:G55"/>
    <mergeCell ref="D56:G56"/>
    <mergeCell ref="D57:G57"/>
    <mergeCell ref="H52:J52"/>
    <mergeCell ref="H53:J53"/>
    <mergeCell ref="H54:J54"/>
    <mergeCell ref="H55:J55"/>
    <mergeCell ref="H56:J56"/>
    <mergeCell ref="H57:J57"/>
    <mergeCell ref="N52:W52"/>
    <mergeCell ref="N53:W53"/>
    <mergeCell ref="N54:W54"/>
    <mergeCell ref="Q20:T20"/>
    <mergeCell ref="E21:F22"/>
    <mergeCell ref="G21:I22"/>
    <mergeCell ref="J21:P22"/>
    <mergeCell ref="Q21:T22"/>
    <mergeCell ref="K52:M52"/>
    <mergeCell ref="L41:N41"/>
    <mergeCell ref="C39:N39"/>
    <mergeCell ref="E35:F35"/>
    <mergeCell ref="G35:I35"/>
    <mergeCell ref="J35:P35"/>
    <mergeCell ref="Q35:T35"/>
    <mergeCell ref="E36:F37"/>
    <mergeCell ref="G36:I37"/>
    <mergeCell ref="J36:P37"/>
    <mergeCell ref="Q36:T37"/>
    <mergeCell ref="C30:T31"/>
    <mergeCell ref="E32:F32"/>
    <mergeCell ref="E33:F34"/>
    <mergeCell ref="G32:I32"/>
    <mergeCell ref="J32:P32"/>
    <mergeCell ref="G33:I34"/>
    <mergeCell ref="J33:P34"/>
    <mergeCell ref="Q32:T32"/>
    <mergeCell ref="Q33:T34"/>
    <mergeCell ref="N55:W55"/>
    <mergeCell ref="N56:W56"/>
    <mergeCell ref="N57:W57"/>
    <mergeCell ref="R88:S88"/>
    <mergeCell ref="R89:S89"/>
    <mergeCell ref="T87:U87"/>
    <mergeCell ref="T88:U88"/>
    <mergeCell ref="T89:U89"/>
    <mergeCell ref="V87:W87"/>
    <mergeCell ref="V88:W88"/>
    <mergeCell ref="V89:W89"/>
    <mergeCell ref="J74:O74"/>
    <mergeCell ref="J79:K79"/>
    <mergeCell ref="J80:K80"/>
    <mergeCell ref="V74:AA74"/>
    <mergeCell ref="L79:M79"/>
    <mergeCell ref="L80:M80"/>
    <mergeCell ref="N79:O79"/>
    <mergeCell ref="N80:O80"/>
    <mergeCell ref="P79:Q79"/>
    <mergeCell ref="P80:Q80"/>
    <mergeCell ref="R79:S79"/>
    <mergeCell ref="Z88:AA88"/>
    <mergeCell ref="Z89:AA89"/>
  </mergeCells>
  <phoneticPr fontId="8"/>
  <dataValidations count="13">
    <dataValidation type="whole" allowBlank="1" showInputMessage="1" showErrorMessage="1" errorTitle="エラー" error="0～120までの数値を入力してください。" promptTitle="入力可能数値" prompt="0～120まで入力できます。" sqref="BD96 N70:O70" xr:uid="{00000000-0002-0000-0000-000002000000}">
      <formula1>0</formula1>
      <formula2>120</formula2>
    </dataValidation>
    <dataValidation type="list" allowBlank="1" showInputMessage="1" showErrorMessage="1" prompt="プルダウンバーから選択してください" sqref="AH9:AP10 Q9" xr:uid="{00000000-0002-0000-0000-000005000000}">
      <formula1>"主事,副参事,参事,理事"</formula1>
    </dataValidation>
    <dataValidation type="list" allowBlank="1" showInputMessage="1" showErrorMessage="1" prompt="プルダウンバーから選択してください" sqref="AQ9:AV10 S9" xr:uid="{00000000-0002-0000-0000-000006000000}">
      <formula1>"1,2,3,4,5,6"</formula1>
    </dataValidation>
    <dataValidation type="list" allowBlank="1" showInputMessage="1" showErrorMessage="1" sqref="AZ100" xr:uid="{9ACAFBDB-88A3-4350-BE82-23B5726E445D}">
      <formula1>"する,しない"</formula1>
    </dataValidation>
    <dataValidation type="list" allowBlank="1" showInputMessage="1" showErrorMessage="1" prompt="プルダウンバーから選択してください" sqref="AP53:AP57 H53:H57" xr:uid="{8DA465FE-F92C-4BB0-A020-EEB6FAFCB763}">
      <formula1>"職員本人と同じ,職員と異なる経路"</formula1>
    </dataValidation>
    <dataValidation type="list" allowBlank="1" showInputMessage="1" showErrorMessage="1" prompt="プルダウンバーから選択してください" sqref="AQ53:AS57 K53:K57" xr:uid="{058BDAE6-83BA-4606-B8A6-D19CED198FFA}">
      <formula1>"職員本人と同じ,職員と異なる旅行日"</formula1>
    </dataValidation>
    <dataValidation type="date" operator="greaterThanOrEqual" allowBlank="1" showInputMessage="1" showErrorMessage="1" error="2025/4/1以降の日付を入力してください。" prompt="年月日を入力して下さい。" sqref="F40 L40:L41 O40:S41" xr:uid="{00000000-0002-0000-0000-000012000000}">
      <formula1>45748</formula1>
    </dataValidation>
    <dataValidation type="list" allowBlank="1" showInputMessage="1" showErrorMessage="1" prompt="プルダウンバーから選択してください。" sqref="S3" xr:uid="{00000000-0002-0000-0000-000014000000}">
      <formula1>"希望しない,希望する"</formula1>
    </dataValidation>
    <dataValidation imeMode="fullKatakana" allowBlank="1" showInputMessage="1" showErrorMessage="1" sqref="V9:AG10 L9" xr:uid="{00000000-0002-0000-0000-000016000000}"/>
    <dataValidation type="textLength" allowBlank="1" showInputMessage="1" showErrorMessage="1" errorTitle="入力桁数誤り" error="職員番号は８桁で入力してください。" prompt="8桁の職員番号を入力してください。" sqref="C9" xr:uid="{00000000-0002-0000-0000-000017000000}">
      <formula1>8</formula1>
      <formula2>8</formula2>
    </dataValidation>
    <dataValidation allowBlank="1" showInputMessage="1" showErrorMessage="1" prompt="島しょ勤務で最寄駅がない場合は港名を入力してください。" sqref="AQ18 AQ36 AQ33:AV34 AQ21 Q33 Q36" xr:uid="{00000000-0002-0000-0000-000018000000}"/>
    <dataValidation type="date" operator="greaterThanOrEqual" allowBlank="1" showInputMessage="1" showErrorMessage="1" error="2025/4/1以降の日付を入力してください。" sqref="AD40:AV41" xr:uid="{E1B51691-7B38-4E3B-B5A3-BF0C2B8DFC2D}">
      <formula1>45748</formula1>
    </dataValidation>
    <dataValidation type="list" allowBlank="1" showInputMessage="1" showErrorMessage="1" sqref="L76:L77 R76:R77 AJ76:AK81 AO76:AO81 X80:X81 X76:X77 L80:L81 R80:R81 AE76:AE81 AD78:AD79" xr:uid="{9EFCC2FC-5004-4A3A-8A10-92D7B74B6B8D}">
      <formula1>"〇"</formula1>
    </dataValidation>
  </dataValidations>
  <pageMargins left="0.7" right="0.7" top="0.75" bottom="0.75" header="0.3" footer="0.3"/>
  <pageSetup paperSize="8" scale="62" fitToHeight="0" orientation="portrait" r:id="rId1"/>
  <rowBreaks count="1" manualBreakCount="1">
    <brk id="90" max="16383" man="1"/>
  </rowBreaks>
  <extLst>
    <ext xmlns:x14="http://schemas.microsoft.com/office/spreadsheetml/2009/9/main" uri="{CCE6A557-97BC-4b89-ADB6-D9C93CAAB3DF}">
      <x14:dataValidations xmlns:xm="http://schemas.microsoft.com/office/excel/2006/main" count="4">
        <x14:dataValidation type="list" allowBlank="1" showInputMessage="1" showErrorMessage="1" prompt="プルダウンバーから選択してください" xr:uid="{00000000-0002-0000-0000-000019000000}">
          <x14:formula1>
            <xm:f>リスト!$A$2:$A$6</xm:f>
          </x14:formula1>
          <xm:sqref>C4</xm:sqref>
        </x14:dataValidation>
        <x14:dataValidation type="list" allowBlank="1" showInputMessage="1" showErrorMessage="1" prompt="プルダウンバーから選択してください。" xr:uid="{00000000-0002-0000-0000-00001A000000}">
          <x14:formula1>
            <xm:f>リスト!$C$2:$C$48</xm:f>
          </x14:formula1>
          <xm:sqref>E33 E21 AD69 E18 X66:X67 L64:L65 R64:R65 E36 F68:F69 F64:F65 R68:R69 L68:L69 AD66 AJ66 AJ69</xm:sqref>
        </x14:dataValidation>
        <x14:dataValidation type="list" allowBlank="1" showInputMessage="1" showErrorMessage="1" xr:uid="{3331DF7D-2881-40F0-AE3D-F1AEE74478BB}">
          <x14:formula1>
            <xm:f>リスト!$C$2:$C$48</xm:f>
          </x14:formula1>
          <xm:sqref>AJ100:AK112 N100:N104 V100:V104 AQ100:AQ112 AV100:AV112 V108:V112 F100:F104 N108:N112 F108:F112</xm:sqref>
        </x14:dataValidation>
        <x14:dataValidation type="list" allowBlank="1" showInputMessage="1" showErrorMessage="1" xr:uid="{613D78C9-4D51-4EC7-BEB8-F0243F1D83EC}">
          <x14:formula1>
            <xm:f>リスト!$H$2:$H$7</xm:f>
          </x14:formula1>
          <xm:sqref>L84:L85 R84:R85 AN100:AN112 AX100:AX112 X88:X89 AJ84:AK89 Q100:Q104 AO84:AO89 AE100:AE104 AS100:AS112 R88:R89 Q108:Q112 X84:X85 L88:L89 AD87:AD88 Y100:Y104 AD108:AE112 AE84:AE89 I100:I104 I108:I112 Y108:Y112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pageSetUpPr fitToPage="1"/>
  </sheetPr>
  <dimension ref="A1:H9"/>
  <sheetViews>
    <sheetView showGridLines="0" view="pageBreakPreview" zoomScale="70" zoomScaleNormal="70" zoomScaleSheetLayoutView="70" workbookViewId="0"/>
  </sheetViews>
  <sheetFormatPr defaultColWidth="8.75" defaultRowHeight="15.75" x14ac:dyDescent="0.15"/>
  <cols>
    <col min="1" max="1" width="5.625" style="59" customWidth="1"/>
    <col min="2" max="2" width="53" style="59" customWidth="1"/>
    <col min="3" max="3" width="5.625" style="59" customWidth="1"/>
    <col min="4" max="4" width="51.5" style="59" customWidth="1"/>
    <col min="5" max="5" width="5.625" style="59" customWidth="1"/>
    <col min="6" max="6" width="51.5" style="59" customWidth="1"/>
    <col min="7" max="7" width="5.625" style="59" customWidth="1"/>
    <col min="8" max="8" width="51.5" style="59" customWidth="1"/>
    <col min="9" max="9" width="10" style="59" customWidth="1"/>
    <col min="10" max="16384" width="8.75" style="59"/>
  </cols>
  <sheetData>
    <row r="1" spans="1:8" ht="19.5" x14ac:dyDescent="0.15">
      <c r="A1" s="57" t="s">
        <v>158</v>
      </c>
      <c r="B1" s="58"/>
    </row>
    <row r="2" spans="1:8" ht="87.6" customHeight="1" x14ac:dyDescent="0.15">
      <c r="B2" s="97" t="s">
        <v>290</v>
      </c>
      <c r="D2" s="499" t="s">
        <v>291</v>
      </c>
      <c r="E2" s="499"/>
      <c r="F2" s="499"/>
      <c r="G2" s="499"/>
      <c r="H2" s="499"/>
    </row>
    <row r="3" spans="1:8" x14ac:dyDescent="0.15">
      <c r="B3" s="96" t="s">
        <v>289</v>
      </c>
      <c r="D3" s="95"/>
      <c r="E3" s="91"/>
      <c r="F3" s="95"/>
    </row>
    <row r="4" spans="1:8" s="60" customFormat="1" ht="183.6" customHeight="1" x14ac:dyDescent="0.15">
      <c r="A4" s="495" t="s">
        <v>34</v>
      </c>
      <c r="B4" s="497"/>
      <c r="C4" s="495" t="s">
        <v>35</v>
      </c>
      <c r="D4" s="500"/>
      <c r="E4" s="495" t="s">
        <v>36</v>
      </c>
      <c r="F4" s="500"/>
      <c r="G4" s="495" t="s">
        <v>37</v>
      </c>
      <c r="H4" s="496" t="s">
        <v>113</v>
      </c>
    </row>
    <row r="5" spans="1:8" s="60" customFormat="1" ht="183.6" customHeight="1" x14ac:dyDescent="0.15">
      <c r="A5" s="495"/>
      <c r="B5" s="498"/>
      <c r="C5" s="495"/>
      <c r="D5" s="501"/>
      <c r="E5" s="495"/>
      <c r="F5" s="501"/>
      <c r="G5" s="495"/>
      <c r="H5" s="496"/>
    </row>
    <row r="6" spans="1:8" s="60" customFormat="1" ht="24.75" customHeight="1" x14ac:dyDescent="0.25">
      <c r="A6" s="57" t="s">
        <v>315</v>
      </c>
      <c r="B6" s="44"/>
      <c r="C6" s="45"/>
      <c r="D6" s="61"/>
      <c r="E6" s="45"/>
      <c r="F6" s="61"/>
      <c r="G6" s="45"/>
      <c r="H6" s="61"/>
    </row>
    <row r="7" spans="1:8" s="60" customFormat="1" ht="19.5" x14ac:dyDescent="0.15">
      <c r="A7" s="57"/>
      <c r="B7" s="62" t="s">
        <v>338</v>
      </c>
      <c r="C7" s="46"/>
      <c r="D7" s="63"/>
      <c r="E7" s="46"/>
      <c r="F7" s="63"/>
      <c r="G7" s="46"/>
      <c r="H7" s="63"/>
    </row>
    <row r="8" spans="1:8" s="60" customFormat="1" ht="183.6" customHeight="1" x14ac:dyDescent="0.15">
      <c r="A8" s="495" t="s">
        <v>34</v>
      </c>
      <c r="B8" s="497"/>
      <c r="C8" s="495" t="s">
        <v>35</v>
      </c>
      <c r="D8" s="494"/>
      <c r="E8" s="495" t="s">
        <v>36</v>
      </c>
      <c r="F8" s="494"/>
      <c r="G8" s="495" t="s">
        <v>37</v>
      </c>
      <c r="H8" s="496" t="s">
        <v>113</v>
      </c>
    </row>
    <row r="9" spans="1:8" s="60" customFormat="1" ht="183.6" customHeight="1" x14ac:dyDescent="0.15">
      <c r="A9" s="495"/>
      <c r="B9" s="498"/>
      <c r="C9" s="495"/>
      <c r="D9" s="494"/>
      <c r="E9" s="495"/>
      <c r="F9" s="494"/>
      <c r="G9" s="495"/>
      <c r="H9" s="496"/>
    </row>
  </sheetData>
  <sheetProtection algorithmName="SHA-512" hashValue="rsYHHmJ2jGLLJq5IhKlE5u8cMm8/t1lamRCjy8Q3lWsajR2wnUQn2Zfc4XAhqVqqaUUoqBCSwZ2pUpakuAY8Xg==" saltValue="yzNLUFAQhTeUpO0WFFewbw==" spinCount="100000" sheet="1" objects="1" scenarios="1"/>
  <mergeCells count="17">
    <mergeCell ref="D2:H2"/>
    <mergeCell ref="G4:G5"/>
    <mergeCell ref="H4:H5"/>
    <mergeCell ref="A4:A5"/>
    <mergeCell ref="B4:B5"/>
    <mergeCell ref="C4:C5"/>
    <mergeCell ref="D4:D5"/>
    <mergeCell ref="E4:E5"/>
    <mergeCell ref="F4:F5"/>
    <mergeCell ref="F8:F9"/>
    <mergeCell ref="G8:G9"/>
    <mergeCell ref="H8:H9"/>
    <mergeCell ref="A8:A9"/>
    <mergeCell ref="B8:B9"/>
    <mergeCell ref="C8:C9"/>
    <mergeCell ref="D8:D9"/>
    <mergeCell ref="E8:E9"/>
  </mergeCells>
  <phoneticPr fontId="12"/>
  <hyperlinks>
    <hyperlink ref="B3" r:id="rId1" xr:uid="{00000000-0004-0000-0100-000000000000}"/>
  </hyperlinks>
  <pageMargins left="0.7" right="0.7" top="0.75" bottom="0.75" header="0.3" footer="0.3"/>
  <pageSetup paperSize="9" scale="58"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S61"/>
  <sheetViews>
    <sheetView showGridLines="0" view="pageBreakPreview" zoomScale="70" zoomScaleNormal="85" zoomScaleSheetLayoutView="70" workbookViewId="0"/>
  </sheetViews>
  <sheetFormatPr defaultColWidth="10.25" defaultRowHeight="0" customHeight="1" zeroHeight="1" outlineLevelCol="4" x14ac:dyDescent="0.15"/>
  <cols>
    <col min="1" max="1" width="2.25" style="23" customWidth="1"/>
    <col min="2" max="2" width="15.125" style="23" customWidth="1"/>
    <col min="3" max="3" width="39.125" style="23" customWidth="1"/>
    <col min="4" max="4" width="26.625" style="23" customWidth="1" outlineLevel="4"/>
    <col min="5" max="5" width="21.5" style="23" bestFit="1" customWidth="1" outlineLevel="4"/>
    <col min="6" max="6" width="21.5" style="23" customWidth="1" outlineLevel="4"/>
    <col min="7" max="7" width="11.75" style="23" customWidth="1"/>
    <col min="8" max="8" width="3.625" style="23" bestFit="1" customWidth="1"/>
    <col min="9" max="9" width="11.75" style="23" customWidth="1"/>
    <col min="10" max="10" width="3.625" style="23" bestFit="1" customWidth="1"/>
    <col min="11" max="11" width="11.75" style="23" customWidth="1"/>
    <col min="12" max="12" width="3.625" style="23" bestFit="1" customWidth="1"/>
    <col min="13" max="13" width="11.75" style="23" customWidth="1"/>
    <col min="14" max="14" width="3.625" style="23" bestFit="1" customWidth="1"/>
    <col min="15" max="15" width="11.75" style="23" customWidth="1"/>
    <col min="16" max="16" width="3.625" style="23" bestFit="1" customWidth="1"/>
    <col min="17" max="17" width="11.75" style="23" customWidth="1"/>
    <col min="18" max="18" width="3.625" style="23" bestFit="1" customWidth="1"/>
    <col min="19" max="19" width="28.625" style="23" customWidth="1"/>
    <col min="20" max="20" width="5.875" style="23" customWidth="1"/>
    <col min="21" max="16384" width="10.25" style="23"/>
  </cols>
  <sheetData>
    <row r="1" spans="1:19" ht="15.75" x14ac:dyDescent="0.15">
      <c r="A1" s="67"/>
      <c r="B1" s="508" t="str">
        <f>IF(AND(乗換案内検索結果入力シート!B4="",乗換案内検索結果入力シート!D4="",乗換案内検索結果入力シート!F4=""),"※乗換案内検索結果入力シートに、検索結果を入力してください。","乗換案内検索結果入力シート")</f>
        <v>※乗換案内検索結果入力シートに、検索結果を入力してください。</v>
      </c>
      <c r="C1" s="508"/>
      <c r="D1" s="508"/>
      <c r="E1" s="508"/>
      <c r="F1" s="508"/>
      <c r="G1" s="508"/>
      <c r="H1" s="508"/>
      <c r="I1" s="153"/>
      <c r="J1" s="153"/>
      <c r="K1" s="153"/>
      <c r="L1" s="153"/>
      <c r="M1" s="153"/>
    </row>
    <row r="2" spans="1:19" s="26" customFormat="1" ht="21.75" thickBot="1" x14ac:dyDescent="0.2">
      <c r="A2" s="24"/>
      <c r="B2" s="25"/>
      <c r="C2" s="24"/>
      <c r="D2" s="24"/>
      <c r="E2" s="24"/>
      <c r="F2" s="24"/>
      <c r="G2" s="21" t="s">
        <v>155</v>
      </c>
      <c r="H2" s="22"/>
      <c r="I2" s="22"/>
      <c r="J2" s="22"/>
      <c r="K2" s="22"/>
      <c r="L2" s="22"/>
      <c r="M2" s="22"/>
      <c r="N2" s="22"/>
      <c r="O2" s="22"/>
      <c r="P2" s="22"/>
      <c r="Q2" s="154"/>
      <c r="R2" s="154"/>
    </row>
    <row r="3" spans="1:19" s="26" customFormat="1" ht="21.75" thickBot="1" x14ac:dyDescent="0.35">
      <c r="A3" s="27"/>
      <c r="B3" s="518" t="s">
        <v>212</v>
      </c>
      <c r="C3" s="518"/>
      <c r="D3" s="518"/>
      <c r="E3" s="518"/>
      <c r="F3" s="149"/>
      <c r="G3" s="523"/>
      <c r="H3" s="524"/>
      <c r="I3" s="524"/>
      <c r="J3" s="524"/>
      <c r="K3" s="524"/>
      <c r="L3" s="524"/>
      <c r="M3" s="524"/>
      <c r="N3" s="524"/>
      <c r="O3" s="524"/>
      <c r="P3" s="524"/>
      <c r="Q3" s="524"/>
      <c r="R3" s="525"/>
    </row>
    <row r="4" spans="1:19" s="26" customFormat="1" ht="6.75" customHeight="1" x14ac:dyDescent="0.15">
      <c r="A4" s="28"/>
      <c r="B4" s="29"/>
      <c r="C4" s="29"/>
      <c r="D4" s="28"/>
      <c r="E4" s="28"/>
      <c r="F4" s="28"/>
      <c r="G4" s="28"/>
      <c r="H4" s="28"/>
      <c r="I4" s="28"/>
      <c r="J4" s="28"/>
      <c r="K4" s="28"/>
      <c r="L4" s="28"/>
      <c r="M4" s="28"/>
    </row>
    <row r="5" spans="1:19" s="26" customFormat="1" ht="6" customHeight="1" x14ac:dyDescent="0.15">
      <c r="A5" s="24"/>
      <c r="B5" s="29"/>
      <c r="C5" s="29"/>
      <c r="D5" s="24"/>
      <c r="E5" s="24"/>
      <c r="F5" s="24"/>
      <c r="G5" s="24"/>
      <c r="H5" s="24"/>
      <c r="I5" s="24"/>
      <c r="J5" s="24"/>
      <c r="K5" s="24"/>
      <c r="L5" s="24"/>
      <c r="M5" s="24"/>
    </row>
    <row r="6" spans="1:19" s="26" customFormat="1" ht="6" customHeight="1" x14ac:dyDescent="0.15">
      <c r="A6" s="24"/>
      <c r="B6" s="24"/>
      <c r="C6" s="24"/>
      <c r="D6" s="24"/>
      <c r="E6" s="24"/>
      <c r="F6" s="24"/>
      <c r="G6" s="24"/>
      <c r="H6" s="24"/>
      <c r="I6" s="24"/>
      <c r="J6" s="24"/>
      <c r="K6" s="24"/>
      <c r="L6" s="24"/>
      <c r="M6" s="24"/>
    </row>
    <row r="7" spans="1:19" s="26" customFormat="1" ht="24" customHeight="1" x14ac:dyDescent="0.15">
      <c r="A7" s="24"/>
      <c r="B7" s="509" t="s">
        <v>25</v>
      </c>
      <c r="C7" s="30" t="s">
        <v>27</v>
      </c>
      <c r="D7" s="511" t="s">
        <v>148</v>
      </c>
      <c r="E7" s="513" t="s">
        <v>122</v>
      </c>
      <c r="F7" s="526" t="s">
        <v>28</v>
      </c>
      <c r="G7" s="514" t="s">
        <v>312</v>
      </c>
      <c r="H7" s="515"/>
      <c r="I7" s="514" t="s">
        <v>313</v>
      </c>
      <c r="J7" s="515"/>
      <c r="K7" s="514" t="s">
        <v>334</v>
      </c>
      <c r="L7" s="515"/>
      <c r="M7" s="514" t="s">
        <v>316</v>
      </c>
      <c r="N7" s="515"/>
      <c r="O7" s="514" t="s">
        <v>439</v>
      </c>
      <c r="P7" s="515"/>
      <c r="Q7" s="514" t="s">
        <v>317</v>
      </c>
      <c r="R7" s="515"/>
      <c r="S7" s="521" t="s">
        <v>203</v>
      </c>
    </row>
    <row r="8" spans="1:19" s="26" customFormat="1" ht="23.25" customHeight="1" x14ac:dyDescent="0.15">
      <c r="A8" s="24"/>
      <c r="B8" s="510"/>
      <c r="C8" s="31" t="s">
        <v>29</v>
      </c>
      <c r="D8" s="512"/>
      <c r="E8" s="513"/>
      <c r="F8" s="513"/>
      <c r="G8" s="516"/>
      <c r="H8" s="517"/>
      <c r="I8" s="516"/>
      <c r="J8" s="517"/>
      <c r="K8" s="516"/>
      <c r="L8" s="517"/>
      <c r="M8" s="516"/>
      <c r="N8" s="517"/>
      <c r="O8" s="516"/>
      <c r="P8" s="517"/>
      <c r="Q8" s="516"/>
      <c r="R8" s="517"/>
      <c r="S8" s="522"/>
    </row>
    <row r="9" spans="1:19" s="26" customFormat="1" ht="22.35" customHeight="1" x14ac:dyDescent="0.15">
      <c r="A9" s="24"/>
      <c r="B9" s="147">
        <v>1</v>
      </c>
      <c r="C9" s="32" t="str">
        <f>IF(経路検索!B4&lt;&gt;0,経路検索!F3,"")</f>
        <v/>
      </c>
      <c r="D9" s="504" t="str">
        <f>IF(C9="","",IFERROR(VLOOKUP(C9&amp;"-"&amp;C10,経路検索!$G:$J,2,0),"乗換"))</f>
        <v/>
      </c>
      <c r="E9" s="506"/>
      <c r="F9" s="519"/>
      <c r="G9" s="502"/>
      <c r="H9" s="33"/>
      <c r="I9" s="502"/>
      <c r="J9" s="33"/>
      <c r="K9" s="502"/>
      <c r="L9" s="33"/>
      <c r="M9" s="502"/>
      <c r="N9" s="33"/>
      <c r="O9" s="502"/>
      <c r="P9" s="33"/>
      <c r="Q9" s="502"/>
      <c r="R9" s="33"/>
      <c r="S9" s="527"/>
    </row>
    <row r="10" spans="1:19" s="26" customFormat="1" ht="22.35" customHeight="1" x14ac:dyDescent="0.15">
      <c r="A10" s="24"/>
      <c r="B10" s="34" t="str">
        <f>IF(VLOOKUP(B9,経路検索!$A$3:$B$40,2,0)=0,"","("&amp;RIGHT(VLOOKUP(B9,経路検索!$A$3:$B$40,2,0),3)&amp;")")</f>
        <v/>
      </c>
      <c r="C10" s="35" t="str">
        <f>IF(経路検索!B4&lt;&gt;0,経路検索!F4,"")</f>
        <v/>
      </c>
      <c r="D10" s="505"/>
      <c r="E10" s="507"/>
      <c r="F10" s="520"/>
      <c r="G10" s="503"/>
      <c r="H10" s="36" t="s">
        <v>26</v>
      </c>
      <c r="I10" s="503"/>
      <c r="J10" s="36" t="s">
        <v>26</v>
      </c>
      <c r="K10" s="503"/>
      <c r="L10" s="36" t="s">
        <v>26</v>
      </c>
      <c r="M10" s="503"/>
      <c r="N10" s="36" t="s">
        <v>26</v>
      </c>
      <c r="O10" s="503"/>
      <c r="P10" s="36" t="s">
        <v>26</v>
      </c>
      <c r="Q10" s="503"/>
      <c r="R10" s="36" t="s">
        <v>26</v>
      </c>
      <c r="S10" s="528"/>
    </row>
    <row r="11" spans="1:19" s="26" customFormat="1" ht="22.35" customHeight="1" x14ac:dyDescent="0.15">
      <c r="A11" s="24"/>
      <c r="B11" s="147">
        <v>2</v>
      </c>
      <c r="C11" s="32" t="str">
        <f>IF(経路検索!B5&lt;&gt;0,経路検索!F4,"")</f>
        <v/>
      </c>
      <c r="D11" s="504" t="str">
        <f>IF(C11="","",IFERROR(VLOOKUP(C11&amp;"-"&amp;C12,経路検索!$G:$J,2,0),"乗換"))</f>
        <v/>
      </c>
      <c r="E11" s="506"/>
      <c r="F11" s="519"/>
      <c r="G11" s="502"/>
      <c r="H11" s="33"/>
      <c r="I11" s="502"/>
      <c r="J11" s="33"/>
      <c r="K11" s="502"/>
      <c r="L11" s="33"/>
      <c r="M11" s="502"/>
      <c r="N11" s="33"/>
      <c r="O11" s="502"/>
      <c r="P11" s="33"/>
      <c r="Q11" s="502"/>
      <c r="R11" s="33"/>
      <c r="S11" s="527"/>
    </row>
    <row r="12" spans="1:19" s="26" customFormat="1" ht="22.35" customHeight="1" x14ac:dyDescent="0.15">
      <c r="A12" s="24"/>
      <c r="B12" s="34" t="str">
        <f>IF(VLOOKUP(B11,経路検索!$A$3:$B$40,2,0)=0,"","("&amp;RIGHT(VLOOKUP(B11,経路検索!$A$3:$B$40,2,0),3)&amp;")")</f>
        <v/>
      </c>
      <c r="C12" s="35" t="str">
        <f>IF(経路検索!B5&lt;&gt;0,経路検索!F5,"")</f>
        <v/>
      </c>
      <c r="D12" s="505"/>
      <c r="E12" s="507"/>
      <c r="F12" s="520"/>
      <c r="G12" s="503"/>
      <c r="H12" s="36" t="s">
        <v>26</v>
      </c>
      <c r="I12" s="503"/>
      <c r="J12" s="36" t="s">
        <v>26</v>
      </c>
      <c r="K12" s="503"/>
      <c r="L12" s="36" t="s">
        <v>26</v>
      </c>
      <c r="M12" s="503"/>
      <c r="N12" s="36" t="s">
        <v>26</v>
      </c>
      <c r="O12" s="503"/>
      <c r="P12" s="36" t="s">
        <v>26</v>
      </c>
      <c r="Q12" s="503"/>
      <c r="R12" s="36" t="s">
        <v>26</v>
      </c>
      <c r="S12" s="528"/>
    </row>
    <row r="13" spans="1:19" s="26" customFormat="1" ht="22.35" customHeight="1" x14ac:dyDescent="0.15">
      <c r="A13" s="24"/>
      <c r="B13" s="147">
        <v>3</v>
      </c>
      <c r="C13" s="32" t="str">
        <f>IF(経路検索!B6&lt;&gt;0,経路検索!F5,"")</f>
        <v/>
      </c>
      <c r="D13" s="504" t="str">
        <f>IF(C13="","",IFERROR(VLOOKUP(C13&amp;"-"&amp;C14,経路検索!$G:$J,2,0),"乗換"))</f>
        <v/>
      </c>
      <c r="E13" s="506"/>
      <c r="F13" s="519"/>
      <c r="G13" s="502"/>
      <c r="H13" s="33"/>
      <c r="I13" s="502"/>
      <c r="J13" s="33"/>
      <c r="K13" s="502"/>
      <c r="L13" s="33"/>
      <c r="M13" s="502"/>
      <c r="N13" s="33"/>
      <c r="O13" s="502"/>
      <c r="P13" s="33"/>
      <c r="Q13" s="502"/>
      <c r="R13" s="33"/>
      <c r="S13" s="527"/>
    </row>
    <row r="14" spans="1:19" s="26" customFormat="1" ht="22.35" customHeight="1" x14ac:dyDescent="0.15">
      <c r="A14" s="24"/>
      <c r="B14" s="34" t="str">
        <f>IF(VLOOKUP(B13,経路検索!$A$3:$B$40,2,0)=0,"","("&amp;RIGHT(VLOOKUP(B13,経路検索!$A$3:$B$40,2,0),3)&amp;")")</f>
        <v/>
      </c>
      <c r="C14" s="35" t="str">
        <f>IF(経路検索!B6&lt;&gt;0,経路検索!F6,"")</f>
        <v/>
      </c>
      <c r="D14" s="505"/>
      <c r="E14" s="507"/>
      <c r="F14" s="520"/>
      <c r="G14" s="503"/>
      <c r="H14" s="36" t="s">
        <v>26</v>
      </c>
      <c r="I14" s="503"/>
      <c r="J14" s="36" t="s">
        <v>26</v>
      </c>
      <c r="K14" s="503"/>
      <c r="L14" s="36" t="s">
        <v>26</v>
      </c>
      <c r="M14" s="503"/>
      <c r="N14" s="36" t="s">
        <v>26</v>
      </c>
      <c r="O14" s="503"/>
      <c r="P14" s="36" t="s">
        <v>26</v>
      </c>
      <c r="Q14" s="503"/>
      <c r="R14" s="36" t="s">
        <v>26</v>
      </c>
      <c r="S14" s="528"/>
    </row>
    <row r="15" spans="1:19" s="26" customFormat="1" ht="22.35" customHeight="1" x14ac:dyDescent="0.15">
      <c r="A15" s="24"/>
      <c r="B15" s="147">
        <v>4</v>
      </c>
      <c r="C15" s="32" t="str">
        <f>IF(経路検索!B7&lt;&gt;0,経路検索!F6,"")</f>
        <v/>
      </c>
      <c r="D15" s="504" t="str">
        <f>IF(C15="","",IFERROR(VLOOKUP(C15&amp;"-"&amp;C16,経路検索!$G:$J,2,0),"乗換"))</f>
        <v/>
      </c>
      <c r="E15" s="506"/>
      <c r="F15" s="519"/>
      <c r="G15" s="502"/>
      <c r="H15" s="33"/>
      <c r="I15" s="502"/>
      <c r="J15" s="33"/>
      <c r="K15" s="502"/>
      <c r="L15" s="33"/>
      <c r="M15" s="502"/>
      <c r="N15" s="33"/>
      <c r="O15" s="502"/>
      <c r="P15" s="33"/>
      <c r="Q15" s="502"/>
      <c r="R15" s="33"/>
      <c r="S15" s="527"/>
    </row>
    <row r="16" spans="1:19" s="26" customFormat="1" ht="22.35" customHeight="1" x14ac:dyDescent="0.15">
      <c r="A16" s="24"/>
      <c r="B16" s="34" t="str">
        <f>IF(VLOOKUP(B15,経路検索!$A$3:$B$40,2,0)=0,"","("&amp;RIGHT(VLOOKUP(B15,経路検索!$A$3:$B$40,2,0),3)&amp;")")</f>
        <v/>
      </c>
      <c r="C16" s="35" t="str">
        <f>IF(経路検索!B7&lt;&gt;0,経路検索!F7,"")</f>
        <v/>
      </c>
      <c r="D16" s="505"/>
      <c r="E16" s="507"/>
      <c r="F16" s="520"/>
      <c r="G16" s="503"/>
      <c r="H16" s="36" t="s">
        <v>26</v>
      </c>
      <c r="I16" s="503"/>
      <c r="J16" s="36" t="s">
        <v>26</v>
      </c>
      <c r="K16" s="503"/>
      <c r="L16" s="36" t="s">
        <v>26</v>
      </c>
      <c r="M16" s="503"/>
      <c r="N16" s="36" t="s">
        <v>26</v>
      </c>
      <c r="O16" s="503"/>
      <c r="P16" s="36" t="s">
        <v>26</v>
      </c>
      <c r="Q16" s="503"/>
      <c r="R16" s="36" t="s">
        <v>26</v>
      </c>
      <c r="S16" s="528"/>
    </row>
    <row r="17" spans="1:19" s="26" customFormat="1" ht="22.35" customHeight="1" x14ac:dyDescent="0.15">
      <c r="A17" s="24"/>
      <c r="B17" s="147">
        <v>5</v>
      </c>
      <c r="C17" s="32" t="str">
        <f>IF(経路検索!B8&lt;&gt;0,経路検索!F7,"")</f>
        <v/>
      </c>
      <c r="D17" s="504" t="str">
        <f>IF(C17="","",IFERROR(VLOOKUP(C17&amp;"-"&amp;C18,経路検索!$G:$J,2,0),"乗換"))</f>
        <v/>
      </c>
      <c r="E17" s="506"/>
      <c r="F17" s="519"/>
      <c r="G17" s="502"/>
      <c r="H17" s="33"/>
      <c r="I17" s="502"/>
      <c r="J17" s="33"/>
      <c r="K17" s="502"/>
      <c r="L17" s="33"/>
      <c r="M17" s="502"/>
      <c r="N17" s="33"/>
      <c r="O17" s="502"/>
      <c r="P17" s="33"/>
      <c r="Q17" s="502"/>
      <c r="R17" s="33"/>
      <c r="S17" s="527"/>
    </row>
    <row r="18" spans="1:19" s="26" customFormat="1" ht="22.35" customHeight="1" x14ac:dyDescent="0.15">
      <c r="A18" s="24"/>
      <c r="B18" s="34" t="str">
        <f>IF(VLOOKUP(B17,経路検索!$A$3:$B$40,2,0)=0,"","("&amp;RIGHT(VLOOKUP(B17,経路検索!$A$3:$B$40,2,0),3)&amp;")")</f>
        <v/>
      </c>
      <c r="C18" s="35" t="str">
        <f>IF(経路検索!B8&lt;&gt;0,経路検索!F8,"")</f>
        <v/>
      </c>
      <c r="D18" s="505"/>
      <c r="E18" s="507"/>
      <c r="F18" s="520"/>
      <c r="G18" s="503"/>
      <c r="H18" s="36" t="s">
        <v>26</v>
      </c>
      <c r="I18" s="503"/>
      <c r="J18" s="36" t="s">
        <v>26</v>
      </c>
      <c r="K18" s="503"/>
      <c r="L18" s="36" t="s">
        <v>26</v>
      </c>
      <c r="M18" s="503"/>
      <c r="N18" s="36" t="s">
        <v>26</v>
      </c>
      <c r="O18" s="503"/>
      <c r="P18" s="36" t="s">
        <v>26</v>
      </c>
      <c r="Q18" s="503"/>
      <c r="R18" s="36" t="s">
        <v>26</v>
      </c>
      <c r="S18" s="528"/>
    </row>
    <row r="19" spans="1:19" s="26" customFormat="1" ht="22.35" customHeight="1" x14ac:dyDescent="0.15">
      <c r="A19" s="24"/>
      <c r="B19" s="147">
        <v>6</v>
      </c>
      <c r="C19" s="32" t="str">
        <f>IF(経路検索!B9&lt;&gt;0,経路検索!F8,"")</f>
        <v/>
      </c>
      <c r="D19" s="504" t="str">
        <f>IF(C19="","",IFERROR(VLOOKUP(C19&amp;"-"&amp;C20,経路検索!$G:$J,2,0),"乗換"))</f>
        <v/>
      </c>
      <c r="E19" s="506"/>
      <c r="F19" s="519"/>
      <c r="G19" s="502"/>
      <c r="H19" s="33"/>
      <c r="I19" s="502"/>
      <c r="J19" s="33"/>
      <c r="K19" s="502"/>
      <c r="L19" s="33"/>
      <c r="M19" s="502"/>
      <c r="N19" s="33"/>
      <c r="O19" s="502"/>
      <c r="P19" s="33"/>
      <c r="Q19" s="502"/>
      <c r="R19" s="33"/>
      <c r="S19" s="527"/>
    </row>
    <row r="20" spans="1:19" s="26" customFormat="1" ht="22.35" customHeight="1" x14ac:dyDescent="0.15">
      <c r="A20" s="24"/>
      <c r="B20" s="34" t="str">
        <f>IF(VLOOKUP(B19,経路検索!$A$3:$B$40,2,0)=0,"","("&amp;RIGHT(VLOOKUP(B19,経路検索!$A$3:$B$40,2,0),3)&amp;")")</f>
        <v/>
      </c>
      <c r="C20" s="35" t="str">
        <f>IF(経路検索!B9&lt;&gt;0,経路検索!F9,"")</f>
        <v/>
      </c>
      <c r="D20" s="505"/>
      <c r="E20" s="507"/>
      <c r="F20" s="520"/>
      <c r="G20" s="503"/>
      <c r="H20" s="36" t="s">
        <v>26</v>
      </c>
      <c r="I20" s="503"/>
      <c r="J20" s="36" t="s">
        <v>26</v>
      </c>
      <c r="K20" s="503"/>
      <c r="L20" s="36" t="s">
        <v>26</v>
      </c>
      <c r="M20" s="503"/>
      <c r="N20" s="36" t="s">
        <v>26</v>
      </c>
      <c r="O20" s="503"/>
      <c r="P20" s="36" t="s">
        <v>26</v>
      </c>
      <c r="Q20" s="503"/>
      <c r="R20" s="36" t="s">
        <v>26</v>
      </c>
      <c r="S20" s="528"/>
    </row>
    <row r="21" spans="1:19" s="26" customFormat="1" ht="22.35" customHeight="1" x14ac:dyDescent="0.15">
      <c r="A21" s="24"/>
      <c r="B21" s="147">
        <v>7</v>
      </c>
      <c r="C21" s="32" t="str">
        <f>IF(経路検索!B10&lt;&gt;0,経路検索!F9,"")</f>
        <v/>
      </c>
      <c r="D21" s="504" t="str">
        <f>IF(C21="","",IFERROR(VLOOKUP(C21&amp;"-"&amp;C22,経路検索!$G:$J,2,0),"乗換"))</f>
        <v/>
      </c>
      <c r="E21" s="506"/>
      <c r="F21" s="519"/>
      <c r="G21" s="502"/>
      <c r="H21" s="33"/>
      <c r="I21" s="502"/>
      <c r="J21" s="33"/>
      <c r="K21" s="502"/>
      <c r="L21" s="33"/>
      <c r="M21" s="502"/>
      <c r="N21" s="33"/>
      <c r="O21" s="502"/>
      <c r="P21" s="33"/>
      <c r="Q21" s="502"/>
      <c r="R21" s="33"/>
      <c r="S21" s="527"/>
    </row>
    <row r="22" spans="1:19" s="26" customFormat="1" ht="22.35" customHeight="1" x14ac:dyDescent="0.15">
      <c r="A22" s="24"/>
      <c r="B22" s="34" t="str">
        <f>IF(VLOOKUP(B21,経路検索!$A$3:$B$40,2,0)=0,"","("&amp;RIGHT(VLOOKUP(B21,経路検索!$A$3:$B$40,2,0),3)&amp;")")</f>
        <v/>
      </c>
      <c r="C22" s="35" t="str">
        <f>IF(経路検索!B10&lt;&gt;0,経路検索!F10,"")</f>
        <v/>
      </c>
      <c r="D22" s="505"/>
      <c r="E22" s="507"/>
      <c r="F22" s="520"/>
      <c r="G22" s="503"/>
      <c r="H22" s="36" t="s">
        <v>26</v>
      </c>
      <c r="I22" s="503"/>
      <c r="J22" s="36" t="s">
        <v>26</v>
      </c>
      <c r="K22" s="503"/>
      <c r="L22" s="36" t="s">
        <v>26</v>
      </c>
      <c r="M22" s="503"/>
      <c r="N22" s="36" t="s">
        <v>26</v>
      </c>
      <c r="O22" s="503"/>
      <c r="P22" s="36" t="s">
        <v>26</v>
      </c>
      <c r="Q22" s="503"/>
      <c r="R22" s="36" t="s">
        <v>26</v>
      </c>
      <c r="S22" s="528"/>
    </row>
    <row r="23" spans="1:19" s="26" customFormat="1" ht="22.35" customHeight="1" x14ac:dyDescent="0.15">
      <c r="A23" s="24"/>
      <c r="B23" s="147">
        <v>8</v>
      </c>
      <c r="C23" s="32" t="str">
        <f>IF(経路検索!B11&lt;&gt;0,経路検索!F10,"")</f>
        <v/>
      </c>
      <c r="D23" s="504" t="str">
        <f>IF(C23="","",IFERROR(VLOOKUP(C23&amp;"-"&amp;C24,経路検索!$G:$J,2,0),"乗換"))</f>
        <v/>
      </c>
      <c r="E23" s="506"/>
      <c r="F23" s="519"/>
      <c r="G23" s="502"/>
      <c r="H23" s="33"/>
      <c r="I23" s="502"/>
      <c r="J23" s="33"/>
      <c r="K23" s="502"/>
      <c r="L23" s="33"/>
      <c r="M23" s="502"/>
      <c r="N23" s="33"/>
      <c r="O23" s="502"/>
      <c r="P23" s="33"/>
      <c r="Q23" s="502"/>
      <c r="R23" s="33"/>
      <c r="S23" s="527"/>
    </row>
    <row r="24" spans="1:19" s="26" customFormat="1" ht="22.35" customHeight="1" x14ac:dyDescent="0.15">
      <c r="A24" s="24"/>
      <c r="B24" s="34" t="str">
        <f>IF(VLOOKUP(B23,経路検索!$A$3:$B$40,2,0)=0,"","("&amp;RIGHT(VLOOKUP(B23,経路検索!$A$3:$B$40,2,0),3)&amp;")")</f>
        <v/>
      </c>
      <c r="C24" s="35" t="str">
        <f>IF(経路検索!B11&lt;&gt;0,経路検索!F11,"")</f>
        <v/>
      </c>
      <c r="D24" s="505"/>
      <c r="E24" s="507"/>
      <c r="F24" s="520"/>
      <c r="G24" s="503"/>
      <c r="H24" s="36" t="s">
        <v>26</v>
      </c>
      <c r="I24" s="503"/>
      <c r="J24" s="36" t="s">
        <v>26</v>
      </c>
      <c r="K24" s="503"/>
      <c r="L24" s="36" t="s">
        <v>26</v>
      </c>
      <c r="M24" s="503"/>
      <c r="N24" s="36" t="s">
        <v>26</v>
      </c>
      <c r="O24" s="503"/>
      <c r="P24" s="36" t="s">
        <v>26</v>
      </c>
      <c r="Q24" s="503"/>
      <c r="R24" s="36" t="s">
        <v>26</v>
      </c>
      <c r="S24" s="528"/>
    </row>
    <row r="25" spans="1:19" s="26" customFormat="1" ht="22.35" customHeight="1" x14ac:dyDescent="0.15">
      <c r="A25" s="24"/>
      <c r="B25" s="147">
        <v>9</v>
      </c>
      <c r="C25" s="32" t="str">
        <f>IF(経路検索!B12&lt;&gt;0,経路検索!F11,"")</f>
        <v/>
      </c>
      <c r="D25" s="504" t="str">
        <f>IF(C25="","",IFERROR(VLOOKUP(C25&amp;"-"&amp;C26,経路検索!$G:$J,2,0),"乗換"))</f>
        <v/>
      </c>
      <c r="E25" s="506"/>
      <c r="F25" s="519"/>
      <c r="G25" s="502"/>
      <c r="H25" s="33"/>
      <c r="I25" s="502"/>
      <c r="J25" s="33"/>
      <c r="K25" s="502"/>
      <c r="L25" s="33"/>
      <c r="M25" s="502"/>
      <c r="N25" s="33"/>
      <c r="O25" s="502"/>
      <c r="P25" s="33"/>
      <c r="Q25" s="502"/>
      <c r="R25" s="33"/>
      <c r="S25" s="527"/>
    </row>
    <row r="26" spans="1:19" s="26" customFormat="1" ht="22.35" customHeight="1" x14ac:dyDescent="0.15">
      <c r="A26" s="24"/>
      <c r="B26" s="34" t="str">
        <f>IF(VLOOKUP(B25,経路検索!$A$3:$B$40,2,0)=0,"","("&amp;RIGHT(VLOOKUP(B25,経路検索!$A$3:$B$40,2,0),3)&amp;")")</f>
        <v/>
      </c>
      <c r="C26" s="35" t="str">
        <f>IF(経路検索!B12&lt;&gt;0,経路検索!F12,"")</f>
        <v/>
      </c>
      <c r="D26" s="505"/>
      <c r="E26" s="507"/>
      <c r="F26" s="520"/>
      <c r="G26" s="503"/>
      <c r="H26" s="36" t="s">
        <v>26</v>
      </c>
      <c r="I26" s="503"/>
      <c r="J26" s="36" t="s">
        <v>26</v>
      </c>
      <c r="K26" s="503"/>
      <c r="L26" s="36" t="s">
        <v>26</v>
      </c>
      <c r="M26" s="503"/>
      <c r="N26" s="36" t="s">
        <v>26</v>
      </c>
      <c r="O26" s="503"/>
      <c r="P26" s="36" t="s">
        <v>26</v>
      </c>
      <c r="Q26" s="503"/>
      <c r="R26" s="36" t="s">
        <v>26</v>
      </c>
      <c r="S26" s="528"/>
    </row>
    <row r="27" spans="1:19" s="26" customFormat="1" ht="22.35" customHeight="1" x14ac:dyDescent="0.15">
      <c r="A27" s="24"/>
      <c r="B27" s="147">
        <v>10</v>
      </c>
      <c r="C27" s="32" t="str">
        <f>IF(経路検索!B13&lt;&gt;0,経路検索!F12,"")</f>
        <v/>
      </c>
      <c r="D27" s="504" t="str">
        <f>IF(C27="","",IFERROR(VLOOKUP(C27&amp;"-"&amp;C28,経路検索!$G:$J,2,0),"乗換"))</f>
        <v/>
      </c>
      <c r="E27" s="506"/>
      <c r="F27" s="519"/>
      <c r="G27" s="502"/>
      <c r="H27" s="33"/>
      <c r="I27" s="502"/>
      <c r="J27" s="33"/>
      <c r="K27" s="502"/>
      <c r="L27" s="33"/>
      <c r="M27" s="502"/>
      <c r="N27" s="33"/>
      <c r="O27" s="502"/>
      <c r="P27" s="33"/>
      <c r="Q27" s="502"/>
      <c r="R27" s="33"/>
      <c r="S27" s="527"/>
    </row>
    <row r="28" spans="1:19" s="26" customFormat="1" ht="22.35" customHeight="1" x14ac:dyDescent="0.15">
      <c r="A28" s="24"/>
      <c r="B28" s="34" t="str">
        <f>IF(VLOOKUP(B27,経路検索!$A$3:$B$40,2,0)=0,"","("&amp;RIGHT(VLOOKUP(B27,経路検索!$A$3:$B$40,2,0),3)&amp;")")</f>
        <v/>
      </c>
      <c r="C28" s="35" t="str">
        <f>IF(経路検索!B13&lt;&gt;0,経路検索!F13,"")</f>
        <v/>
      </c>
      <c r="D28" s="505"/>
      <c r="E28" s="507"/>
      <c r="F28" s="520"/>
      <c r="G28" s="503"/>
      <c r="H28" s="36" t="s">
        <v>26</v>
      </c>
      <c r="I28" s="503"/>
      <c r="J28" s="36" t="s">
        <v>26</v>
      </c>
      <c r="K28" s="503"/>
      <c r="L28" s="36" t="s">
        <v>26</v>
      </c>
      <c r="M28" s="503"/>
      <c r="N28" s="36" t="s">
        <v>26</v>
      </c>
      <c r="O28" s="503"/>
      <c r="P28" s="36" t="s">
        <v>26</v>
      </c>
      <c r="Q28" s="503"/>
      <c r="R28" s="36" t="s">
        <v>26</v>
      </c>
      <c r="S28" s="528"/>
    </row>
    <row r="29" spans="1:19" s="26" customFormat="1" ht="22.35" customHeight="1" x14ac:dyDescent="0.15">
      <c r="A29" s="24"/>
      <c r="B29" s="147">
        <v>11</v>
      </c>
      <c r="C29" s="32" t="str">
        <f>IF(経路検索!B14&lt;&gt;0,経路検索!F13,"")</f>
        <v/>
      </c>
      <c r="D29" s="504" t="str">
        <f>IF(C29="","",IFERROR(VLOOKUP(C29&amp;"-"&amp;C30,経路検索!$G:$J,2,0),"乗換"))</f>
        <v/>
      </c>
      <c r="E29" s="506"/>
      <c r="F29" s="519"/>
      <c r="G29" s="502"/>
      <c r="H29" s="33"/>
      <c r="I29" s="502"/>
      <c r="J29" s="33"/>
      <c r="K29" s="502"/>
      <c r="L29" s="33"/>
      <c r="M29" s="502"/>
      <c r="N29" s="33"/>
      <c r="O29" s="502"/>
      <c r="P29" s="33"/>
      <c r="Q29" s="502"/>
      <c r="R29" s="33"/>
      <c r="S29" s="527"/>
    </row>
    <row r="30" spans="1:19" s="26" customFormat="1" ht="22.35" customHeight="1" x14ac:dyDescent="0.15">
      <c r="A30" s="24"/>
      <c r="B30" s="34" t="str">
        <f>IF(VLOOKUP(B29,経路検索!$A$3:$B$40,2,0)=0,"","("&amp;RIGHT(VLOOKUP(B29,経路検索!$A$3:$B$40,2,0),3)&amp;")")</f>
        <v/>
      </c>
      <c r="C30" s="35" t="str">
        <f>IF(経路検索!B14&lt;&gt;0,経路検索!F14,"")</f>
        <v/>
      </c>
      <c r="D30" s="505"/>
      <c r="E30" s="507"/>
      <c r="F30" s="520"/>
      <c r="G30" s="503"/>
      <c r="H30" s="36" t="s">
        <v>26</v>
      </c>
      <c r="I30" s="503"/>
      <c r="J30" s="36" t="s">
        <v>26</v>
      </c>
      <c r="K30" s="503"/>
      <c r="L30" s="36" t="s">
        <v>26</v>
      </c>
      <c r="M30" s="503"/>
      <c r="N30" s="36" t="s">
        <v>26</v>
      </c>
      <c r="O30" s="503"/>
      <c r="P30" s="36" t="s">
        <v>26</v>
      </c>
      <c r="Q30" s="503"/>
      <c r="R30" s="36" t="s">
        <v>26</v>
      </c>
      <c r="S30" s="528"/>
    </row>
    <row r="31" spans="1:19" s="26" customFormat="1" ht="22.35" customHeight="1" x14ac:dyDescent="0.15">
      <c r="A31" s="24"/>
      <c r="B31" s="147">
        <v>12</v>
      </c>
      <c r="C31" s="32" t="str">
        <f>IF(経路検索!B15&lt;&gt;0,経路検索!F14,"")</f>
        <v/>
      </c>
      <c r="D31" s="504" t="str">
        <f>IF(C31="","",IFERROR(VLOOKUP(C31&amp;"-"&amp;C32,経路検索!$G:$J,2,0),"乗換"))</f>
        <v/>
      </c>
      <c r="E31" s="506"/>
      <c r="F31" s="519"/>
      <c r="G31" s="502"/>
      <c r="H31" s="33"/>
      <c r="I31" s="502"/>
      <c r="J31" s="33"/>
      <c r="K31" s="502"/>
      <c r="L31" s="33"/>
      <c r="M31" s="502"/>
      <c r="N31" s="33"/>
      <c r="O31" s="502"/>
      <c r="P31" s="33"/>
      <c r="Q31" s="502"/>
      <c r="R31" s="33"/>
      <c r="S31" s="527"/>
    </row>
    <row r="32" spans="1:19" s="26" customFormat="1" ht="22.35" customHeight="1" x14ac:dyDescent="0.15">
      <c r="A32" s="24"/>
      <c r="B32" s="34" t="str">
        <f>IF(VLOOKUP(B31,経路検索!$A$3:$B$40,2,0)=0,"","("&amp;RIGHT(VLOOKUP(B31,経路検索!$A$3:$B$40,2,0),3)&amp;")")</f>
        <v/>
      </c>
      <c r="C32" s="35" t="str">
        <f>IF(経路検索!B15&lt;&gt;0,経路検索!F15,"")</f>
        <v/>
      </c>
      <c r="D32" s="505"/>
      <c r="E32" s="507"/>
      <c r="F32" s="520"/>
      <c r="G32" s="503"/>
      <c r="H32" s="36" t="s">
        <v>26</v>
      </c>
      <c r="I32" s="503"/>
      <c r="J32" s="36" t="s">
        <v>26</v>
      </c>
      <c r="K32" s="503"/>
      <c r="L32" s="36" t="s">
        <v>26</v>
      </c>
      <c r="M32" s="503"/>
      <c r="N32" s="36" t="s">
        <v>26</v>
      </c>
      <c r="O32" s="503"/>
      <c r="P32" s="36" t="s">
        <v>26</v>
      </c>
      <c r="Q32" s="503"/>
      <c r="R32" s="36" t="s">
        <v>26</v>
      </c>
      <c r="S32" s="528"/>
    </row>
    <row r="33" spans="1:19" s="26" customFormat="1" ht="22.35" customHeight="1" x14ac:dyDescent="0.15">
      <c r="A33" s="24"/>
      <c r="B33" s="147">
        <v>13</v>
      </c>
      <c r="C33" s="32" t="str">
        <f>IF(経路検索!B16&lt;&gt;0,経路検索!F15,"")</f>
        <v/>
      </c>
      <c r="D33" s="504" t="str">
        <f>IF(C33="","",IFERROR(VLOOKUP(C33&amp;"-"&amp;C34,経路検索!$G:$J,2,0),"乗換"))</f>
        <v/>
      </c>
      <c r="E33" s="506"/>
      <c r="F33" s="519"/>
      <c r="G33" s="502"/>
      <c r="H33" s="33"/>
      <c r="I33" s="502"/>
      <c r="J33" s="33"/>
      <c r="K33" s="502"/>
      <c r="L33" s="33"/>
      <c r="M33" s="502"/>
      <c r="N33" s="33"/>
      <c r="O33" s="502"/>
      <c r="P33" s="33"/>
      <c r="Q33" s="502"/>
      <c r="R33" s="33"/>
      <c r="S33" s="527"/>
    </row>
    <row r="34" spans="1:19" s="26" customFormat="1" ht="22.35" customHeight="1" x14ac:dyDescent="0.15">
      <c r="A34" s="24"/>
      <c r="B34" s="34" t="str">
        <f>IF(VLOOKUP(B33,経路検索!$A$3:$B$40,2,0)=0,"","("&amp;RIGHT(VLOOKUP(B33,経路検索!$A$3:$B$40,2,0),3)&amp;")")</f>
        <v/>
      </c>
      <c r="C34" s="35" t="str">
        <f>IF(経路検索!B16&lt;&gt;0,経路検索!F16,"")</f>
        <v/>
      </c>
      <c r="D34" s="505"/>
      <c r="E34" s="507"/>
      <c r="F34" s="520"/>
      <c r="G34" s="503"/>
      <c r="H34" s="36" t="s">
        <v>26</v>
      </c>
      <c r="I34" s="503"/>
      <c r="J34" s="36" t="s">
        <v>26</v>
      </c>
      <c r="K34" s="503"/>
      <c r="L34" s="36" t="s">
        <v>26</v>
      </c>
      <c r="M34" s="503"/>
      <c r="N34" s="36" t="s">
        <v>26</v>
      </c>
      <c r="O34" s="503"/>
      <c r="P34" s="36" t="s">
        <v>26</v>
      </c>
      <c r="Q34" s="503"/>
      <c r="R34" s="36" t="s">
        <v>26</v>
      </c>
      <c r="S34" s="528"/>
    </row>
    <row r="35" spans="1:19" s="26" customFormat="1" ht="22.35" customHeight="1" x14ac:dyDescent="0.15">
      <c r="A35" s="24"/>
      <c r="B35" s="147">
        <v>14</v>
      </c>
      <c r="C35" s="32" t="str">
        <f>IF(経路検索!B17&lt;&gt;0,経路検索!F16,"")</f>
        <v/>
      </c>
      <c r="D35" s="504" t="str">
        <f>IF(C35="","",IFERROR(VLOOKUP(C35&amp;"-"&amp;C36,経路検索!$G:$J,2,0),"乗換"))</f>
        <v/>
      </c>
      <c r="E35" s="506"/>
      <c r="F35" s="519"/>
      <c r="G35" s="502"/>
      <c r="H35" s="33"/>
      <c r="I35" s="502"/>
      <c r="J35" s="33"/>
      <c r="K35" s="502"/>
      <c r="L35" s="33"/>
      <c r="M35" s="502"/>
      <c r="N35" s="33"/>
      <c r="O35" s="502"/>
      <c r="P35" s="33"/>
      <c r="Q35" s="502"/>
      <c r="R35" s="33"/>
      <c r="S35" s="527"/>
    </row>
    <row r="36" spans="1:19" s="26" customFormat="1" ht="22.35" customHeight="1" x14ac:dyDescent="0.15">
      <c r="A36" s="24"/>
      <c r="B36" s="34" t="str">
        <f>IF(VLOOKUP(B35,経路検索!$A$3:$B$40,2,0)=0,"","("&amp;RIGHT(VLOOKUP(B35,経路検索!$A$3:$B$40,2,0),3)&amp;")")</f>
        <v/>
      </c>
      <c r="C36" s="35" t="str">
        <f>IF(経路検索!B17&lt;&gt;0,経路検索!F17,"")</f>
        <v/>
      </c>
      <c r="D36" s="505"/>
      <c r="E36" s="507"/>
      <c r="F36" s="520"/>
      <c r="G36" s="503"/>
      <c r="H36" s="36" t="s">
        <v>26</v>
      </c>
      <c r="I36" s="503"/>
      <c r="J36" s="36" t="s">
        <v>26</v>
      </c>
      <c r="K36" s="503"/>
      <c r="L36" s="36" t="s">
        <v>26</v>
      </c>
      <c r="M36" s="503"/>
      <c r="N36" s="36" t="s">
        <v>26</v>
      </c>
      <c r="O36" s="503"/>
      <c r="P36" s="36" t="s">
        <v>26</v>
      </c>
      <c r="Q36" s="503"/>
      <c r="R36" s="36" t="s">
        <v>26</v>
      </c>
      <c r="S36" s="528"/>
    </row>
    <row r="37" spans="1:19" s="26" customFormat="1" ht="22.35" customHeight="1" x14ac:dyDescent="0.15">
      <c r="A37" s="24"/>
      <c r="B37" s="147">
        <v>15</v>
      </c>
      <c r="C37" s="32" t="str">
        <f>IF(経路検索!B18&lt;&gt;0,経路検索!F17,"")</f>
        <v/>
      </c>
      <c r="D37" s="504" t="str">
        <f>IF(C37="","",IFERROR(VLOOKUP(C37&amp;"-"&amp;C38,経路検索!$G:$J,2,0),"乗換"))</f>
        <v/>
      </c>
      <c r="E37" s="506"/>
      <c r="F37" s="519"/>
      <c r="G37" s="502"/>
      <c r="H37" s="33"/>
      <c r="I37" s="502"/>
      <c r="J37" s="33"/>
      <c r="K37" s="502"/>
      <c r="L37" s="33"/>
      <c r="M37" s="502"/>
      <c r="N37" s="33"/>
      <c r="O37" s="502"/>
      <c r="P37" s="33"/>
      <c r="Q37" s="502"/>
      <c r="R37" s="33"/>
      <c r="S37" s="527"/>
    </row>
    <row r="38" spans="1:19" s="26" customFormat="1" ht="22.35" customHeight="1" x14ac:dyDescent="0.15">
      <c r="A38" s="24"/>
      <c r="B38" s="34" t="str">
        <f>IF(VLOOKUP(B37,経路検索!$A$3:$B$40,2,0)=0,"","("&amp;RIGHT(VLOOKUP(B37,経路検索!$A$3:$B$40,2,0),3)&amp;")")</f>
        <v/>
      </c>
      <c r="C38" s="35" t="str">
        <f>IF(経路検索!B18&lt;&gt;0,経路検索!F18,"")</f>
        <v/>
      </c>
      <c r="D38" s="505"/>
      <c r="E38" s="507"/>
      <c r="F38" s="520"/>
      <c r="G38" s="503"/>
      <c r="H38" s="36" t="s">
        <v>26</v>
      </c>
      <c r="I38" s="503"/>
      <c r="J38" s="36" t="s">
        <v>26</v>
      </c>
      <c r="K38" s="503"/>
      <c r="L38" s="36" t="s">
        <v>26</v>
      </c>
      <c r="M38" s="503"/>
      <c r="N38" s="36" t="s">
        <v>26</v>
      </c>
      <c r="O38" s="503"/>
      <c r="P38" s="36" t="s">
        <v>26</v>
      </c>
      <c r="Q38" s="503"/>
      <c r="R38" s="36" t="s">
        <v>26</v>
      </c>
      <c r="S38" s="528"/>
    </row>
    <row r="39" spans="1:19" s="26" customFormat="1" ht="22.35" customHeight="1" x14ac:dyDescent="0.15">
      <c r="A39" s="24"/>
      <c r="B39" s="147">
        <v>16</v>
      </c>
      <c r="C39" s="32" t="str">
        <f>IF(経路検索!B19&lt;&gt;0,経路検索!F18,"")</f>
        <v/>
      </c>
      <c r="D39" s="504" t="str">
        <f>IF(C39="","",IFERROR(VLOOKUP(C39&amp;"-"&amp;C40,経路検索!$G:$J,2,0),"乗換"))</f>
        <v/>
      </c>
      <c r="E39" s="506"/>
      <c r="F39" s="519"/>
      <c r="G39" s="502"/>
      <c r="H39" s="33"/>
      <c r="I39" s="502"/>
      <c r="J39" s="33"/>
      <c r="K39" s="502"/>
      <c r="L39" s="33"/>
      <c r="M39" s="502"/>
      <c r="N39" s="33"/>
      <c r="O39" s="502"/>
      <c r="P39" s="33"/>
      <c r="Q39" s="502"/>
      <c r="R39" s="33"/>
      <c r="S39" s="527"/>
    </row>
    <row r="40" spans="1:19" s="26" customFormat="1" ht="22.35" customHeight="1" x14ac:dyDescent="0.15">
      <c r="A40" s="24"/>
      <c r="B40" s="34" t="str">
        <f>IF(VLOOKUP(B39,経路検索!$A$3:$B$40,2,0)=0,"","("&amp;RIGHT(VLOOKUP(B39,経路検索!$A$3:$B$40,2,0),3)&amp;")")</f>
        <v/>
      </c>
      <c r="C40" s="35" t="str">
        <f>IF(経路検索!B19&lt;&gt;0,経路検索!F19,"")</f>
        <v/>
      </c>
      <c r="D40" s="505"/>
      <c r="E40" s="507"/>
      <c r="F40" s="520"/>
      <c r="G40" s="503"/>
      <c r="H40" s="36" t="s">
        <v>26</v>
      </c>
      <c r="I40" s="503"/>
      <c r="J40" s="36" t="s">
        <v>26</v>
      </c>
      <c r="K40" s="503"/>
      <c r="L40" s="36" t="s">
        <v>26</v>
      </c>
      <c r="M40" s="503"/>
      <c r="N40" s="36" t="s">
        <v>26</v>
      </c>
      <c r="O40" s="503"/>
      <c r="P40" s="36" t="s">
        <v>26</v>
      </c>
      <c r="Q40" s="503"/>
      <c r="R40" s="36" t="s">
        <v>26</v>
      </c>
      <c r="S40" s="528"/>
    </row>
    <row r="41" spans="1:19" s="26" customFormat="1" ht="22.35" customHeight="1" x14ac:dyDescent="0.15">
      <c r="A41" s="24"/>
      <c r="B41" s="147">
        <v>17</v>
      </c>
      <c r="C41" s="32" t="str">
        <f>IF(経路検索!B20&lt;&gt;0,経路検索!F19,"")</f>
        <v/>
      </c>
      <c r="D41" s="504" t="str">
        <f>IF(C41="","",IFERROR(VLOOKUP(C41&amp;"-"&amp;C42,経路検索!$G:$J,2,0),"乗換"))</f>
        <v/>
      </c>
      <c r="E41" s="506"/>
      <c r="F41" s="519"/>
      <c r="G41" s="502"/>
      <c r="H41" s="33"/>
      <c r="I41" s="502"/>
      <c r="J41" s="33"/>
      <c r="K41" s="502"/>
      <c r="L41" s="33"/>
      <c r="M41" s="502"/>
      <c r="N41" s="33"/>
      <c r="O41" s="502"/>
      <c r="P41" s="33"/>
      <c r="Q41" s="502"/>
      <c r="R41" s="33"/>
      <c r="S41" s="527"/>
    </row>
    <row r="42" spans="1:19" s="26" customFormat="1" ht="22.35" customHeight="1" x14ac:dyDescent="0.15">
      <c r="A42" s="24"/>
      <c r="B42" s="34" t="str">
        <f>IF(VLOOKUP(B41,経路検索!$A$3:$B$40,2,0)=0,"","("&amp;RIGHT(VLOOKUP(B41,経路検索!$A$3:$B$40,2,0),3)&amp;")")</f>
        <v/>
      </c>
      <c r="C42" s="35" t="str">
        <f>IF(経路検索!B20&lt;&gt;0,経路検索!F20,"")</f>
        <v/>
      </c>
      <c r="D42" s="505"/>
      <c r="E42" s="507"/>
      <c r="F42" s="520"/>
      <c r="G42" s="503"/>
      <c r="H42" s="36" t="s">
        <v>26</v>
      </c>
      <c r="I42" s="503"/>
      <c r="J42" s="36" t="s">
        <v>26</v>
      </c>
      <c r="K42" s="503"/>
      <c r="L42" s="36" t="s">
        <v>26</v>
      </c>
      <c r="M42" s="503"/>
      <c r="N42" s="36" t="s">
        <v>26</v>
      </c>
      <c r="O42" s="503"/>
      <c r="P42" s="36" t="s">
        <v>26</v>
      </c>
      <c r="Q42" s="503"/>
      <c r="R42" s="36" t="s">
        <v>26</v>
      </c>
      <c r="S42" s="528"/>
    </row>
    <row r="43" spans="1:19" s="26" customFormat="1" ht="22.35" customHeight="1" x14ac:dyDescent="0.15">
      <c r="A43" s="24"/>
      <c r="B43" s="147">
        <v>18</v>
      </c>
      <c r="C43" s="32" t="str">
        <f>IF(経路検索!B21&lt;&gt;0,経路検索!F20,"")</f>
        <v/>
      </c>
      <c r="D43" s="504" t="str">
        <f>IF(C43="","",IFERROR(VLOOKUP(C43&amp;"-"&amp;C44,経路検索!$G:$J,2,0),"乗換"))</f>
        <v/>
      </c>
      <c r="E43" s="506"/>
      <c r="F43" s="519"/>
      <c r="G43" s="502"/>
      <c r="H43" s="33"/>
      <c r="I43" s="502"/>
      <c r="J43" s="33"/>
      <c r="K43" s="502"/>
      <c r="L43" s="33"/>
      <c r="M43" s="502"/>
      <c r="N43" s="33"/>
      <c r="O43" s="502"/>
      <c r="P43" s="33"/>
      <c r="Q43" s="502"/>
      <c r="R43" s="33"/>
      <c r="S43" s="527"/>
    </row>
    <row r="44" spans="1:19" s="26" customFormat="1" ht="22.35" customHeight="1" x14ac:dyDescent="0.15">
      <c r="A44" s="24"/>
      <c r="B44" s="34" t="str">
        <f>IF(VLOOKUP(B43,経路検索!$A$3:$B$40,2,0)=0,"","("&amp;RIGHT(VLOOKUP(B43,経路検索!$A$3:$B$40,2,0),3)&amp;")")</f>
        <v/>
      </c>
      <c r="C44" s="35" t="str">
        <f>IF(経路検索!B21&lt;&gt;0,経路検索!F21,"")</f>
        <v/>
      </c>
      <c r="D44" s="505"/>
      <c r="E44" s="507"/>
      <c r="F44" s="520"/>
      <c r="G44" s="503"/>
      <c r="H44" s="36" t="s">
        <v>26</v>
      </c>
      <c r="I44" s="503"/>
      <c r="J44" s="36" t="s">
        <v>26</v>
      </c>
      <c r="K44" s="503"/>
      <c r="L44" s="36" t="s">
        <v>26</v>
      </c>
      <c r="M44" s="503"/>
      <c r="N44" s="36" t="s">
        <v>26</v>
      </c>
      <c r="O44" s="503"/>
      <c r="P44" s="36" t="s">
        <v>26</v>
      </c>
      <c r="Q44" s="503"/>
      <c r="R44" s="36" t="s">
        <v>26</v>
      </c>
      <c r="S44" s="528"/>
    </row>
    <row r="45" spans="1:19" s="26" customFormat="1" ht="22.15" customHeight="1" x14ac:dyDescent="0.15"/>
    <row r="46" spans="1:19" s="26" customFormat="1" ht="22.15" customHeight="1" x14ac:dyDescent="0.15">
      <c r="C46" s="37"/>
      <c r="D46" s="37"/>
      <c r="E46" s="37"/>
      <c r="F46" s="37"/>
      <c r="G46" s="38">
        <f>SUM(G25,G23,G21,G19,G17,G15,G13,G11,G9,G27,G29,G31,G33,G35,G37,G39,G41,G43)</f>
        <v>0</v>
      </c>
      <c r="H46" s="39" t="s">
        <v>26</v>
      </c>
      <c r="I46" s="38">
        <f>SUM(I25,I23,I21,I19,I17,I15,I13,I11,I9,I27,I29,I31,I33,I35,I37,I39,I41,I43)</f>
        <v>0</v>
      </c>
      <c r="J46" s="39" t="s">
        <v>26</v>
      </c>
      <c r="K46" s="38">
        <f>SUM(K25,K23,K21,K19,K17,K15,K13,K11,K9,K27,K29,K31,K33,K35,K37,K39,K41,K43)</f>
        <v>0</v>
      </c>
      <c r="L46" s="39" t="s">
        <v>26</v>
      </c>
      <c r="M46" s="38">
        <f>SUM(M25,M23,M21,M19,M17,M15,M13,M11,M9,M27,M29,M31,M33,M35,M37,M39,M41,M43)</f>
        <v>0</v>
      </c>
      <c r="N46" s="39" t="s">
        <v>26</v>
      </c>
      <c r="O46" s="38">
        <f>SUM(O25,O23,O21,O19,O17,O15,O13,O11,O9,O27,O29,O31,O33,O35,O37,O39,O41,O43)</f>
        <v>0</v>
      </c>
      <c r="P46" s="39" t="s">
        <v>26</v>
      </c>
      <c r="Q46" s="38">
        <f>SUM(Q25,Q23,Q21,Q19,Q17,Q15,Q13,Q11,Q9,Q27,Q29,Q31,Q33,Q35,Q37,Q39,Q41,Q43)</f>
        <v>0</v>
      </c>
      <c r="R46" s="39" t="s">
        <v>26</v>
      </c>
    </row>
    <row r="47" spans="1:19" s="26" customFormat="1" ht="22.15" customHeight="1" x14ac:dyDescent="0.15">
      <c r="G47" s="40"/>
      <c r="H47" s="41"/>
      <c r="I47" s="41"/>
      <c r="J47" s="41"/>
      <c r="K47" s="41"/>
      <c r="L47" s="41"/>
      <c r="M47" s="41"/>
    </row>
    <row r="48" spans="1:19" s="26" customFormat="1" ht="22.15" customHeight="1" x14ac:dyDescent="0.15"/>
    <row r="49" spans="2:13" s="26" customFormat="1" ht="15.75" x14ac:dyDescent="0.15"/>
    <row r="50" spans="2:13" s="26" customFormat="1" ht="15.75" x14ac:dyDescent="0.15"/>
    <row r="51" spans="2:13" s="26" customFormat="1" ht="15.75" x14ac:dyDescent="0.15"/>
    <row r="52" spans="2:13" s="26" customFormat="1" ht="15.75" x14ac:dyDescent="0.15"/>
    <row r="53" spans="2:13" s="26" customFormat="1" ht="15.75" x14ac:dyDescent="0.15"/>
    <row r="54" spans="2:13" s="26" customFormat="1" ht="15.75" x14ac:dyDescent="0.15"/>
    <row r="55" spans="2:13" s="26" customFormat="1" ht="15.75" x14ac:dyDescent="0.15"/>
    <row r="56" spans="2:13" s="26" customFormat="1" ht="15.75" x14ac:dyDescent="0.15"/>
    <row r="57" spans="2:13" ht="18" customHeight="1" x14ac:dyDescent="0.15">
      <c r="B57" s="26"/>
      <c r="C57" s="26"/>
      <c r="D57" s="26"/>
      <c r="E57" s="26"/>
      <c r="F57" s="26"/>
      <c r="G57" s="26"/>
      <c r="H57" s="26"/>
      <c r="I57" s="26"/>
      <c r="J57" s="26"/>
      <c r="K57" s="26"/>
      <c r="L57" s="26"/>
      <c r="M57" s="26"/>
    </row>
    <row r="58" spans="2:13" ht="18" customHeight="1" x14ac:dyDescent="0.15">
      <c r="B58" s="26"/>
      <c r="C58" s="26"/>
      <c r="D58" s="26"/>
      <c r="E58" s="26"/>
      <c r="F58" s="26"/>
      <c r="G58" s="26"/>
      <c r="H58" s="26"/>
      <c r="I58" s="26"/>
      <c r="J58" s="26"/>
      <c r="K58" s="26"/>
      <c r="L58" s="26"/>
      <c r="M58" s="26"/>
    </row>
    <row r="59" spans="2:13" ht="18" customHeight="1" x14ac:dyDescent="0.15">
      <c r="B59" s="26"/>
      <c r="C59" s="26"/>
      <c r="D59" s="26"/>
      <c r="E59" s="26"/>
      <c r="F59" s="26"/>
    </row>
    <row r="60" spans="2:13" ht="18" customHeight="1" x14ac:dyDescent="0.15">
      <c r="C60" s="26"/>
      <c r="D60" s="26"/>
      <c r="E60" s="26"/>
      <c r="F60" s="26"/>
    </row>
    <row r="61" spans="2:13" ht="18" customHeight="1" x14ac:dyDescent="0.15">
      <c r="B61" s="26"/>
      <c r="C61" s="26"/>
      <c r="D61" s="26"/>
      <c r="E61" s="26"/>
      <c r="F61" s="26"/>
    </row>
  </sheetData>
  <sheetProtection algorithmName="SHA-512" hashValue="qJ3YKu8QcU5A+UZzcxaUjUwwxspjvYhRbCyjqP0BuHCP60eL7/ugFMErhCufK9Vrfv68eSmAV27KAa8WNK2KcQ==" saltValue="xjl7PVXf4u1InQ/4wAbwsQ==" spinCount="100000" sheet="1" objects="1" scenarios="1"/>
  <protectedRanges>
    <protectedRange sqref="E9:F9 E11:F11 E13:F13 E15:F15 E17:F17 E19:F19 E21:F21 E23:F23 E25:F25 E27:F27 E29:F29 E31:F31 E33:F33 E35:F35 E37:F37 E39:F39 E41:F41 E43:F43" name="手入力_4"/>
  </protectedRanges>
  <dataConsolidate/>
  <mergeCells count="194">
    <mergeCell ref="S27:S28"/>
    <mergeCell ref="S29:S30"/>
    <mergeCell ref="S31:S32"/>
    <mergeCell ref="S33:S34"/>
    <mergeCell ref="S35:S36"/>
    <mergeCell ref="S37:S38"/>
    <mergeCell ref="S39:S40"/>
    <mergeCell ref="S41:S42"/>
    <mergeCell ref="S43:S44"/>
    <mergeCell ref="S9:S10"/>
    <mergeCell ref="S11:S12"/>
    <mergeCell ref="S13:S14"/>
    <mergeCell ref="S15:S16"/>
    <mergeCell ref="S17:S18"/>
    <mergeCell ref="S19:S20"/>
    <mergeCell ref="S21:S22"/>
    <mergeCell ref="S23:S24"/>
    <mergeCell ref="S25:S26"/>
    <mergeCell ref="F39:F40"/>
    <mergeCell ref="F41:F42"/>
    <mergeCell ref="F43:F44"/>
    <mergeCell ref="F7:F8"/>
    <mergeCell ref="F21:F22"/>
    <mergeCell ref="F23:F24"/>
    <mergeCell ref="F25:F26"/>
    <mergeCell ref="F27:F28"/>
    <mergeCell ref="F29:F30"/>
    <mergeCell ref="F31:F32"/>
    <mergeCell ref="F33:F34"/>
    <mergeCell ref="F35:F36"/>
    <mergeCell ref="F37:F38"/>
    <mergeCell ref="S7:S8"/>
    <mergeCell ref="G3:R3"/>
    <mergeCell ref="G33:G34"/>
    <mergeCell ref="G35:G36"/>
    <mergeCell ref="G37:G38"/>
    <mergeCell ref="G39:G40"/>
    <mergeCell ref="G41:G42"/>
    <mergeCell ref="G43:G44"/>
    <mergeCell ref="I43:I44"/>
    <mergeCell ref="K43:K44"/>
    <mergeCell ref="M43:M44"/>
    <mergeCell ref="O43:O44"/>
    <mergeCell ref="Q43:Q44"/>
    <mergeCell ref="I39:I40"/>
    <mergeCell ref="K39:K40"/>
    <mergeCell ref="M39:M40"/>
    <mergeCell ref="O39:O40"/>
    <mergeCell ref="Q39:Q40"/>
    <mergeCell ref="I41:I42"/>
    <mergeCell ref="K41:K42"/>
    <mergeCell ref="M41:M42"/>
    <mergeCell ref="O41:O42"/>
    <mergeCell ref="Q41:Q42"/>
    <mergeCell ref="I35:I36"/>
    <mergeCell ref="K35:K36"/>
    <mergeCell ref="M35:M36"/>
    <mergeCell ref="O35:O36"/>
    <mergeCell ref="Q35:Q36"/>
    <mergeCell ref="I37:I38"/>
    <mergeCell ref="K37:K38"/>
    <mergeCell ref="M37:M38"/>
    <mergeCell ref="O37:O38"/>
    <mergeCell ref="Q37:Q38"/>
    <mergeCell ref="I31:I32"/>
    <mergeCell ref="K31:K32"/>
    <mergeCell ref="M31:M32"/>
    <mergeCell ref="O31:O32"/>
    <mergeCell ref="Q31:Q32"/>
    <mergeCell ref="I33:I34"/>
    <mergeCell ref="K33:K34"/>
    <mergeCell ref="M33:M34"/>
    <mergeCell ref="O33:O34"/>
    <mergeCell ref="Q33:Q34"/>
    <mergeCell ref="I27:I28"/>
    <mergeCell ref="K27:K28"/>
    <mergeCell ref="M27:M28"/>
    <mergeCell ref="O27:O28"/>
    <mergeCell ref="Q27:Q28"/>
    <mergeCell ref="I29:I30"/>
    <mergeCell ref="K29:K30"/>
    <mergeCell ref="M29:M30"/>
    <mergeCell ref="O29:O30"/>
    <mergeCell ref="Q29:Q30"/>
    <mergeCell ref="I23:I24"/>
    <mergeCell ref="K23:K24"/>
    <mergeCell ref="M23:M24"/>
    <mergeCell ref="O23:O24"/>
    <mergeCell ref="Q23:Q24"/>
    <mergeCell ref="I25:I26"/>
    <mergeCell ref="K25:K26"/>
    <mergeCell ref="M25:M26"/>
    <mergeCell ref="O25:O26"/>
    <mergeCell ref="Q25:Q26"/>
    <mergeCell ref="I19:I20"/>
    <mergeCell ref="K19:K20"/>
    <mergeCell ref="M19:M20"/>
    <mergeCell ref="O19:O20"/>
    <mergeCell ref="Q19:Q20"/>
    <mergeCell ref="I21:I22"/>
    <mergeCell ref="K21:K22"/>
    <mergeCell ref="M21:M22"/>
    <mergeCell ref="O21:O22"/>
    <mergeCell ref="Q21:Q22"/>
    <mergeCell ref="I15:I16"/>
    <mergeCell ref="K15:K16"/>
    <mergeCell ref="M15:M16"/>
    <mergeCell ref="O15:O16"/>
    <mergeCell ref="Q15:Q16"/>
    <mergeCell ref="I17:I18"/>
    <mergeCell ref="K17:K18"/>
    <mergeCell ref="M17:M18"/>
    <mergeCell ref="O17:O18"/>
    <mergeCell ref="Q17:Q18"/>
    <mergeCell ref="I11:I12"/>
    <mergeCell ref="K11:K12"/>
    <mergeCell ref="M11:M12"/>
    <mergeCell ref="O11:O12"/>
    <mergeCell ref="Q11:Q12"/>
    <mergeCell ref="I13:I14"/>
    <mergeCell ref="K13:K14"/>
    <mergeCell ref="M13:M14"/>
    <mergeCell ref="O13:O14"/>
    <mergeCell ref="Q13:Q14"/>
    <mergeCell ref="I7:J8"/>
    <mergeCell ref="K7:L8"/>
    <mergeCell ref="M7:N8"/>
    <mergeCell ref="O7:P8"/>
    <mergeCell ref="Q7:R8"/>
    <mergeCell ref="I9:I10"/>
    <mergeCell ref="K9:K10"/>
    <mergeCell ref="M9:M10"/>
    <mergeCell ref="O9:O10"/>
    <mergeCell ref="Q9:Q10"/>
    <mergeCell ref="D43:D44"/>
    <mergeCell ref="E43:E44"/>
    <mergeCell ref="D41:D42"/>
    <mergeCell ref="E41:E42"/>
    <mergeCell ref="D39:D40"/>
    <mergeCell ref="E39:E40"/>
    <mergeCell ref="D37:D38"/>
    <mergeCell ref="E37:E38"/>
    <mergeCell ref="D35:D36"/>
    <mergeCell ref="E35:E36"/>
    <mergeCell ref="G21:G22"/>
    <mergeCell ref="G25:G26"/>
    <mergeCell ref="G27:G28"/>
    <mergeCell ref="G23:G24"/>
    <mergeCell ref="G17:G18"/>
    <mergeCell ref="G19:G20"/>
    <mergeCell ref="G13:G14"/>
    <mergeCell ref="B1:H1"/>
    <mergeCell ref="B7:B8"/>
    <mergeCell ref="D7:D8"/>
    <mergeCell ref="E7:E8"/>
    <mergeCell ref="G7:H8"/>
    <mergeCell ref="G15:G16"/>
    <mergeCell ref="G9:G10"/>
    <mergeCell ref="G11:G12"/>
    <mergeCell ref="D17:D18"/>
    <mergeCell ref="B3:E3"/>
    <mergeCell ref="F9:F10"/>
    <mergeCell ref="F11:F12"/>
    <mergeCell ref="F13:F14"/>
    <mergeCell ref="F15:F16"/>
    <mergeCell ref="F17:F18"/>
    <mergeCell ref="F19:F20"/>
    <mergeCell ref="D33:D34"/>
    <mergeCell ref="E17:E18"/>
    <mergeCell ref="D9:D10"/>
    <mergeCell ref="E9:E10"/>
    <mergeCell ref="D11:D12"/>
    <mergeCell ref="E11:E12"/>
    <mergeCell ref="D13:D14"/>
    <mergeCell ref="E13:E14"/>
    <mergeCell ref="D15:D16"/>
    <mergeCell ref="E15:E16"/>
    <mergeCell ref="D19:D20"/>
    <mergeCell ref="E19:E20"/>
    <mergeCell ref="D23:D24"/>
    <mergeCell ref="E23:E24"/>
    <mergeCell ref="D21:D22"/>
    <mergeCell ref="E21:E22"/>
    <mergeCell ref="E33:E34"/>
    <mergeCell ref="E31:E32"/>
    <mergeCell ref="G29:G30"/>
    <mergeCell ref="D25:D26"/>
    <mergeCell ref="E25:E26"/>
    <mergeCell ref="D27:D28"/>
    <mergeCell ref="E27:E28"/>
    <mergeCell ref="D31:D32"/>
    <mergeCell ref="D29:D30"/>
    <mergeCell ref="E29:E30"/>
    <mergeCell ref="G31:G32"/>
  </mergeCells>
  <phoneticPr fontId="12"/>
  <conditionalFormatting sqref="D9:D43">
    <cfRule type="expression" dxfId="32" priority="11">
      <formula>$D9=""</formula>
    </cfRule>
  </conditionalFormatting>
  <conditionalFormatting sqref="C11 C13 C15 C17 C19 C21 C23 C25 C27 C29 C31 C33 C35 C37 C39 C41 C43">
    <cfRule type="expression" dxfId="31" priority="10">
      <formula>$C11=""</formula>
    </cfRule>
  </conditionalFormatting>
  <conditionalFormatting sqref="C9:C10">
    <cfRule type="expression" dxfId="30" priority="9">
      <formula>$C9=""</formula>
    </cfRule>
  </conditionalFormatting>
  <conditionalFormatting sqref="C12 C14 C16 C18 C20 C22 C24 C26 C28 C30 C32 C34 C36 C38 C40 C42 C44">
    <cfRule type="expression" dxfId="29" priority="8">
      <formula>$C12=""</formula>
    </cfRule>
  </conditionalFormatting>
  <conditionalFormatting sqref="I9:I44">
    <cfRule type="expression" dxfId="28" priority="7">
      <formula>OR($E9="徒歩・その他の交通用具",$E9="タクシー",$E9="バス",$E9="飛行機",$E9="船",$E9="ヘリ")</formula>
    </cfRule>
  </conditionalFormatting>
  <conditionalFormatting sqref="K9:K44">
    <cfRule type="expression" dxfId="27" priority="6">
      <formula>OR($E9="徒歩・その他の交通用具",$E9="タクシー",$E9="バス",$E9="船",$E9="ヘリ")</formula>
    </cfRule>
  </conditionalFormatting>
  <conditionalFormatting sqref="M9:M44">
    <cfRule type="expression" dxfId="26" priority="5">
      <formula>OR($E9="徒歩・その他の交通用具",$E9="タクシー",$E9="バス",$E9="飛行機",$E9="ヘリ")</formula>
    </cfRule>
  </conditionalFormatting>
  <conditionalFormatting sqref="O9:O44">
    <cfRule type="expression" dxfId="25" priority="4">
      <formula>OR($E9="徒歩・その他の交通用具",$E9="タクシー",$E9="バス",$E9="飛行機",$E9="ヘリ")</formula>
    </cfRule>
  </conditionalFormatting>
  <conditionalFormatting sqref="Q9:Q44">
    <cfRule type="expression" dxfId="24" priority="3">
      <formula>$E9="バス"</formula>
    </cfRule>
  </conditionalFormatting>
  <conditionalFormatting sqref="F9:F44">
    <cfRule type="expression" dxfId="23" priority="2">
      <formula>OR($E9="徒歩・その他の交通用具",$E9="タクシー")</formula>
    </cfRule>
  </conditionalFormatting>
  <printOptions horizontalCentered="1"/>
  <pageMargins left="0.70866141732283472" right="0.70866141732283472" top="0.74803149606299213" bottom="0.74803149606299213" header="0.31496062992125984" footer="0.31496062992125984"/>
  <pageSetup paperSize="9" scale="44"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prompt="プルダウンバーから選択してください。" xr:uid="{00000000-0002-0000-0200-000002000000}">
          <x14:formula1>
            <xm:f>リスト!$B$2:$B$7</xm:f>
          </x14:formula1>
          <xm:sqref>G3</xm:sqref>
        </x14:dataValidation>
        <x14:dataValidation type="list" allowBlank="1" showInputMessage="1" showErrorMessage="1" prompt="プルダウンバーから選択してください" xr:uid="{00000000-0002-0000-0200-000003000000}">
          <x14:formula1>
            <xm:f>キロマスタ!$F$2:$F$8</xm:f>
          </x14:formula1>
          <xm:sqref>E9:E44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00"/>
    <pageSetUpPr fitToPage="1"/>
  </sheetPr>
  <dimension ref="A1:AP77"/>
  <sheetViews>
    <sheetView showGridLines="0" view="pageBreakPreview" zoomScale="70" zoomScaleNormal="85" zoomScaleSheetLayoutView="70" workbookViewId="0"/>
  </sheetViews>
  <sheetFormatPr defaultColWidth="10.25" defaultRowHeight="15.75" x14ac:dyDescent="0.15"/>
  <cols>
    <col min="1" max="1" width="2.25" style="23" customWidth="1"/>
    <col min="2" max="2" width="15.125" style="23" customWidth="1"/>
    <col min="3" max="3" width="39.125" style="23" customWidth="1"/>
    <col min="4" max="4" width="26.625" style="23" customWidth="1"/>
    <col min="5" max="5" width="21.5" style="23" bestFit="1" customWidth="1"/>
    <col min="6" max="6" width="18.5" style="23" customWidth="1"/>
    <col min="7" max="7" width="4" style="23" customWidth="1"/>
    <col min="8" max="8" width="18.5" style="23" customWidth="1"/>
    <col min="9" max="9" width="4" style="23" customWidth="1"/>
    <col min="10" max="10" width="18.5" style="23" customWidth="1"/>
    <col min="11" max="11" width="4" style="23" customWidth="1"/>
    <col min="12" max="12" width="18.5" style="23" customWidth="1"/>
    <col min="13" max="13" width="4" style="23" customWidth="1"/>
    <col min="14" max="14" width="18.5" style="23" customWidth="1"/>
    <col min="15" max="15" width="4" style="23" customWidth="1"/>
    <col min="16" max="16" width="28.75" style="23" customWidth="1"/>
    <col min="17" max="22" width="10.25" style="23" customWidth="1"/>
    <col min="23" max="23" width="21.375" style="23" customWidth="1"/>
    <col min="24" max="24" width="10.25" style="23" customWidth="1"/>
    <col min="25" max="25" width="21.375" style="23" customWidth="1"/>
    <col min="26" max="26" width="10.25" style="23"/>
    <col min="27" max="27" width="35" style="23" customWidth="1"/>
    <col min="28" max="37" width="10.25" style="23" customWidth="1"/>
    <col min="38" max="41" width="35.375" style="23" customWidth="1"/>
    <col min="42" max="42" width="25.75" style="23" customWidth="1"/>
    <col min="43" max="43" width="10.25" style="23" customWidth="1"/>
    <col min="44" max="16384" width="10.25" style="23"/>
  </cols>
  <sheetData>
    <row r="1" spans="1:42" x14ac:dyDescent="0.15">
      <c r="A1" s="67"/>
      <c r="B1" s="153" t="str">
        <f>IF(AND(乗換案内検索結果入力シート!B8="",乗換案内検索結果入力シート!D8="",乗換案内検索結果入力シート!F8=""),"※乗換案内検索結果入力シートに、検索結果を入力してください。","乗換案内検索結果入力シート")</f>
        <v>※乗換案内検索結果入力シートに、検索結果を入力してください。</v>
      </c>
      <c r="C1" s="153"/>
      <c r="D1" s="153"/>
      <c r="E1" s="153"/>
      <c r="F1" s="153"/>
      <c r="G1" s="153"/>
      <c r="H1" s="153"/>
      <c r="I1" s="153"/>
      <c r="J1" s="153"/>
      <c r="K1" s="153"/>
      <c r="L1" s="153"/>
      <c r="M1" s="153"/>
      <c r="N1" s="153"/>
      <c r="O1" s="153"/>
      <c r="P1" s="153"/>
    </row>
    <row r="2" spans="1:42" s="26" customFormat="1" ht="21" x14ac:dyDescent="0.15">
      <c r="A2" s="24"/>
      <c r="B2" s="25"/>
      <c r="C2" s="24"/>
      <c r="D2" s="24"/>
      <c r="E2" s="24"/>
      <c r="F2" s="24"/>
      <c r="G2" s="24"/>
      <c r="H2" s="24"/>
      <c r="I2" s="24"/>
      <c r="J2" s="24"/>
      <c r="K2" s="24"/>
      <c r="L2" s="24"/>
      <c r="M2" s="24"/>
      <c r="N2" s="24"/>
      <c r="O2" s="24"/>
      <c r="P2" s="21"/>
      <c r="Q2" s="22"/>
      <c r="R2" s="22"/>
      <c r="S2" s="22"/>
      <c r="T2" s="154"/>
      <c r="U2" s="154"/>
      <c r="Y2" s="21"/>
      <c r="Z2" s="22"/>
      <c r="AA2" s="22"/>
    </row>
    <row r="3" spans="1:42" s="26" customFormat="1" ht="21.75" thickBot="1" x14ac:dyDescent="0.35">
      <c r="A3" s="27"/>
      <c r="B3" s="518" t="s">
        <v>309</v>
      </c>
      <c r="C3" s="518"/>
      <c r="D3" s="518"/>
      <c r="E3" s="518"/>
      <c r="F3" s="149"/>
      <c r="G3" s="149"/>
      <c r="H3" s="149"/>
      <c r="I3" s="149"/>
      <c r="J3" s="149"/>
      <c r="K3" s="149"/>
      <c r="L3" s="149"/>
      <c r="M3" s="149"/>
      <c r="N3" s="21" t="s">
        <v>155</v>
      </c>
      <c r="O3" s="22"/>
      <c r="P3" s="22"/>
      <c r="Q3" s="155"/>
      <c r="R3" s="155"/>
      <c r="S3" s="155"/>
      <c r="T3" s="155"/>
      <c r="U3" s="155"/>
      <c r="Y3" s="531"/>
      <c r="Z3" s="531"/>
      <c r="AA3" s="531"/>
    </row>
    <row r="4" spans="1:42" s="26" customFormat="1" ht="16.5" thickBot="1" x14ac:dyDescent="0.2">
      <c r="A4" s="28"/>
      <c r="B4" s="29"/>
      <c r="C4" s="29"/>
      <c r="D4" s="28"/>
      <c r="E4" s="28"/>
      <c r="F4" s="28"/>
      <c r="G4" s="28"/>
      <c r="H4" s="28"/>
      <c r="I4" s="28"/>
      <c r="J4" s="28"/>
      <c r="K4" s="28"/>
      <c r="L4" s="28"/>
      <c r="M4" s="28"/>
      <c r="N4" s="523"/>
      <c r="O4" s="524"/>
      <c r="P4" s="525"/>
    </row>
    <row r="5" spans="1:42" s="26" customFormat="1" ht="6" customHeight="1" x14ac:dyDescent="0.15">
      <c r="A5" s="24"/>
      <c r="B5" s="29"/>
      <c r="C5" s="29"/>
      <c r="D5" s="24"/>
      <c r="E5" s="24"/>
      <c r="F5" s="24"/>
      <c r="G5" s="24"/>
      <c r="H5" s="24"/>
      <c r="I5" s="24"/>
      <c r="J5" s="24"/>
      <c r="K5" s="24"/>
      <c r="L5" s="24"/>
      <c r="M5" s="24"/>
      <c r="N5" s="24"/>
      <c r="O5" s="24"/>
      <c r="P5" s="24"/>
    </row>
    <row r="6" spans="1:42" s="26" customFormat="1" ht="6" customHeight="1" x14ac:dyDescent="0.15">
      <c r="A6" s="24"/>
      <c r="B6" s="24"/>
      <c r="C6" s="24"/>
      <c r="D6" s="24"/>
      <c r="E6" s="24"/>
      <c r="F6" s="24"/>
      <c r="G6" s="24"/>
      <c r="H6" s="24"/>
      <c r="I6" s="24"/>
      <c r="J6" s="24"/>
      <c r="K6" s="24"/>
      <c r="L6" s="24"/>
      <c r="M6" s="24"/>
      <c r="N6" s="24"/>
      <c r="O6" s="24"/>
      <c r="P6" s="24"/>
    </row>
    <row r="7" spans="1:42" s="26" customFormat="1" ht="24" customHeight="1" x14ac:dyDescent="0.15">
      <c r="A7" s="24"/>
      <c r="B7" s="147" t="s">
        <v>25</v>
      </c>
      <c r="C7" s="30" t="s">
        <v>27</v>
      </c>
      <c r="D7" s="511" t="s">
        <v>148</v>
      </c>
      <c r="E7" s="511" t="s">
        <v>122</v>
      </c>
      <c r="F7" s="533" t="s">
        <v>30</v>
      </c>
      <c r="G7" s="535"/>
      <c r="H7" s="535"/>
      <c r="I7" s="535"/>
      <c r="J7" s="535"/>
      <c r="K7" s="535"/>
      <c r="L7" s="535"/>
      <c r="M7" s="535"/>
      <c r="N7" s="535"/>
      <c r="O7" s="534"/>
      <c r="P7" s="521" t="s">
        <v>203</v>
      </c>
      <c r="W7" s="536"/>
      <c r="X7" s="536"/>
      <c r="Y7" s="536"/>
      <c r="Z7" s="536"/>
      <c r="AA7" s="532"/>
    </row>
    <row r="8" spans="1:42" s="26" customFormat="1" ht="23.25" customHeight="1" x14ac:dyDescent="0.15">
      <c r="A8" s="24"/>
      <c r="B8" s="148"/>
      <c r="C8" s="31" t="s">
        <v>29</v>
      </c>
      <c r="D8" s="512"/>
      <c r="E8" s="512"/>
      <c r="F8" s="533" t="s">
        <v>314</v>
      </c>
      <c r="G8" s="534"/>
      <c r="H8" s="533" t="s">
        <v>302</v>
      </c>
      <c r="I8" s="534"/>
      <c r="J8" s="533" t="s">
        <v>303</v>
      </c>
      <c r="K8" s="534"/>
      <c r="L8" s="533" t="s">
        <v>305</v>
      </c>
      <c r="M8" s="534"/>
      <c r="N8" s="533" t="s">
        <v>308</v>
      </c>
      <c r="O8" s="534"/>
      <c r="P8" s="538"/>
      <c r="W8" s="536"/>
      <c r="X8" s="536"/>
      <c r="Y8" s="536"/>
      <c r="Z8" s="536"/>
      <c r="AA8" s="532"/>
      <c r="AL8" s="26" t="s">
        <v>282</v>
      </c>
    </row>
    <row r="9" spans="1:42" s="26" customFormat="1" ht="22.35" customHeight="1" x14ac:dyDescent="0.15">
      <c r="A9" s="24"/>
      <c r="B9" s="147">
        <v>1</v>
      </c>
      <c r="C9" s="32" t="str">
        <f>IF(経路検索F!B4&lt;&gt;0,経路検索F!F3,"")</f>
        <v/>
      </c>
      <c r="D9" s="529" t="str">
        <f>IF(C9="","",IFERROR(VLOOKUP(C9&amp;"-"&amp;C10,経路検索F!$G:$J,2,0),"乗換"))</f>
        <v/>
      </c>
      <c r="E9" s="506"/>
      <c r="F9" s="502"/>
      <c r="G9" s="33"/>
      <c r="H9" s="502"/>
      <c r="I9" s="33"/>
      <c r="J9" s="502"/>
      <c r="K9" s="33"/>
      <c r="L9" s="502"/>
      <c r="M9" s="33"/>
      <c r="N9" s="502"/>
      <c r="O9" s="33"/>
      <c r="P9" s="527"/>
      <c r="W9" s="537"/>
      <c r="X9" s="125"/>
      <c r="Y9" s="537"/>
      <c r="Z9" s="125"/>
      <c r="AL9" s="77" t="s">
        <v>211</v>
      </c>
      <c r="AM9" s="79" t="s">
        <v>205</v>
      </c>
      <c r="AN9" s="80" t="s">
        <v>206</v>
      </c>
      <c r="AO9" s="81" t="s">
        <v>207</v>
      </c>
      <c r="AP9" s="82" t="s">
        <v>208</v>
      </c>
    </row>
    <row r="10" spans="1:42" s="26" customFormat="1" ht="22.35" customHeight="1" x14ac:dyDescent="0.15">
      <c r="A10" s="24"/>
      <c r="B10" s="34" t="str">
        <f>IF(VLOOKUP(B9,経路検索!$A$3:$B$40,2,0)=0,"","("&amp;RIGHT(VLOOKUP(B9,経路検索!$A$3:$B$40,2,0),3)&amp;")")</f>
        <v/>
      </c>
      <c r="C10" s="35" t="str">
        <f>IF(経路検索F!B4&lt;&gt;0,経路検索F!F4,"")</f>
        <v/>
      </c>
      <c r="D10" s="530"/>
      <c r="E10" s="507"/>
      <c r="F10" s="503"/>
      <c r="G10" s="36" t="s">
        <v>26</v>
      </c>
      <c r="H10" s="503"/>
      <c r="I10" s="36" t="s">
        <v>26</v>
      </c>
      <c r="J10" s="503"/>
      <c r="K10" s="36" t="s">
        <v>26</v>
      </c>
      <c r="L10" s="503"/>
      <c r="M10" s="36" t="s">
        <v>26</v>
      </c>
      <c r="N10" s="503"/>
      <c r="O10" s="36" t="s">
        <v>26</v>
      </c>
      <c r="P10" s="528"/>
      <c r="W10" s="537"/>
      <c r="X10" s="125"/>
      <c r="Y10" s="537"/>
      <c r="Z10" s="125"/>
      <c r="AL10" s="78" t="s">
        <v>202</v>
      </c>
      <c r="AM10" s="78">
        <f>SUM(AM14:AM16)</f>
        <v>0</v>
      </c>
      <c r="AN10" s="78">
        <f>SUM(AM28:AM42)</f>
        <v>0</v>
      </c>
      <c r="AO10" s="78">
        <f>SUM(AM19:AM27,AM43:AM47)</f>
        <v>0</v>
      </c>
      <c r="AP10" s="78">
        <f>SUM(AM17:AM18)</f>
        <v>0</v>
      </c>
    </row>
    <row r="11" spans="1:42" s="26" customFormat="1" ht="22.35" customHeight="1" x14ac:dyDescent="0.15">
      <c r="A11" s="24"/>
      <c r="B11" s="147">
        <v>2</v>
      </c>
      <c r="C11" s="32" t="str">
        <f>IF(経路検索F!B5&lt;&gt;0,経路検索F!F4,"")</f>
        <v/>
      </c>
      <c r="D11" s="529" t="str">
        <f>IF(C11="","",IFERROR(VLOOKUP(C11&amp;"-"&amp;C12,経路検索F!$G:$J,2,0),"乗換"))</f>
        <v/>
      </c>
      <c r="E11" s="506"/>
      <c r="F11" s="502"/>
      <c r="G11" s="33"/>
      <c r="H11" s="502"/>
      <c r="I11" s="33"/>
      <c r="J11" s="502"/>
      <c r="K11" s="33"/>
      <c r="L11" s="502"/>
      <c r="M11" s="33"/>
      <c r="N11" s="502"/>
      <c r="O11" s="33"/>
      <c r="P11" s="527"/>
      <c r="W11" s="537"/>
      <c r="X11" s="125"/>
      <c r="Y11" s="537"/>
      <c r="Z11" s="125"/>
      <c r="AL11" s="78" t="s">
        <v>204</v>
      </c>
      <c r="AM11" s="78">
        <f>SUM(AN14:AN16)</f>
        <v>0</v>
      </c>
      <c r="AN11" s="78">
        <f>SUM(AN28:AN42)</f>
        <v>0</v>
      </c>
      <c r="AO11" s="78">
        <f>SUM(AN19:AN27,AN43:AN47)</f>
        <v>0</v>
      </c>
      <c r="AP11" s="78">
        <f>SUM(AN17:AN18)</f>
        <v>0</v>
      </c>
    </row>
    <row r="12" spans="1:42" s="26" customFormat="1" ht="22.35" customHeight="1" x14ac:dyDescent="0.15">
      <c r="A12" s="24"/>
      <c r="B12" s="34" t="str">
        <f>IF(VLOOKUP(B11,経路検索!$A$3:$B$40,2,0)=0,"","("&amp;RIGHT(VLOOKUP(B11,経路検索!$A$3:$B$40,2,0),3)&amp;")")</f>
        <v/>
      </c>
      <c r="C12" s="35" t="str">
        <f>IF(経路検索F!B5&lt;&gt;0,経路検索F!F5,"")</f>
        <v/>
      </c>
      <c r="D12" s="530"/>
      <c r="E12" s="507"/>
      <c r="F12" s="503"/>
      <c r="G12" s="36" t="s">
        <v>26</v>
      </c>
      <c r="H12" s="503"/>
      <c r="I12" s="36" t="s">
        <v>26</v>
      </c>
      <c r="J12" s="503"/>
      <c r="K12" s="36" t="s">
        <v>26</v>
      </c>
      <c r="L12" s="503"/>
      <c r="M12" s="36" t="s">
        <v>26</v>
      </c>
      <c r="N12" s="503"/>
      <c r="O12" s="36" t="s">
        <v>26</v>
      </c>
      <c r="P12" s="528"/>
      <c r="W12" s="537"/>
      <c r="X12" s="125"/>
      <c r="Y12" s="537"/>
      <c r="Z12" s="125"/>
      <c r="AL12" s="26" t="s">
        <v>283</v>
      </c>
    </row>
    <row r="13" spans="1:42" s="26" customFormat="1" ht="22.35" customHeight="1" x14ac:dyDescent="0.15">
      <c r="A13" s="24"/>
      <c r="B13" s="147">
        <v>3</v>
      </c>
      <c r="C13" s="32" t="str">
        <f>IF(経路検索F!B6&lt;&gt;0,経路検索F!F5,"")</f>
        <v/>
      </c>
      <c r="D13" s="529" t="str">
        <f>IF(C13="","",IFERROR(VLOOKUP(C13&amp;"-"&amp;C14,経路検索F!$G:$J,2,0),"乗換"))</f>
        <v/>
      </c>
      <c r="E13" s="506"/>
      <c r="F13" s="502"/>
      <c r="G13" s="33"/>
      <c r="H13" s="502"/>
      <c r="I13" s="33"/>
      <c r="J13" s="502"/>
      <c r="K13" s="33"/>
      <c r="L13" s="502"/>
      <c r="M13" s="33"/>
      <c r="N13" s="502"/>
      <c r="O13" s="33"/>
      <c r="P13" s="527"/>
      <c r="W13" s="537"/>
      <c r="X13" s="125"/>
      <c r="Y13" s="537"/>
      <c r="Z13" s="125"/>
      <c r="AL13" s="77" t="s">
        <v>145</v>
      </c>
      <c r="AM13" s="77" t="s">
        <v>202</v>
      </c>
      <c r="AN13" s="77" t="s">
        <v>204</v>
      </c>
    </row>
    <row r="14" spans="1:42" s="26" customFormat="1" ht="22.35" customHeight="1" x14ac:dyDescent="0.15">
      <c r="A14" s="24"/>
      <c r="B14" s="34" t="str">
        <f>IF(VLOOKUP(B13,経路検索!$A$3:$B$40,2,0)=0,"","("&amp;RIGHT(VLOOKUP(B13,経路検索!$A$3:$B$40,2,0),3)&amp;")")</f>
        <v/>
      </c>
      <c r="C14" s="35" t="str">
        <f>IF(経路検索F!B6&lt;&gt;0,経路検索F!F6,"")</f>
        <v/>
      </c>
      <c r="D14" s="530"/>
      <c r="E14" s="507"/>
      <c r="F14" s="503"/>
      <c r="G14" s="36" t="s">
        <v>26</v>
      </c>
      <c r="H14" s="503"/>
      <c r="I14" s="36" t="s">
        <v>26</v>
      </c>
      <c r="J14" s="503"/>
      <c r="K14" s="36" t="s">
        <v>26</v>
      </c>
      <c r="L14" s="503"/>
      <c r="M14" s="36" t="s">
        <v>26</v>
      </c>
      <c r="N14" s="503"/>
      <c r="O14" s="36" t="s">
        <v>26</v>
      </c>
      <c r="P14" s="528"/>
      <c r="W14" s="537"/>
      <c r="X14" s="125"/>
      <c r="Y14" s="537"/>
      <c r="Z14" s="125"/>
      <c r="AL14" s="78" t="str">
        <f>キロマスタ!F3</f>
        <v>鉄道</v>
      </c>
      <c r="AM14" s="79">
        <f t="shared" ref="AM14:AM47" si="0">SUMIFS($W$9:$W$44,$E$9:$E$44,AL14)</f>
        <v>0</v>
      </c>
      <c r="AN14" s="79">
        <f t="shared" ref="AN14:AN47" si="1">SUMIFS($Y$9:$Y$44,$E$9:$E$44,AL14)</f>
        <v>0</v>
      </c>
    </row>
    <row r="15" spans="1:42" s="26" customFormat="1" ht="22.35" customHeight="1" x14ac:dyDescent="0.15">
      <c r="A15" s="24"/>
      <c r="B15" s="147">
        <v>4</v>
      </c>
      <c r="C15" s="32" t="str">
        <f>IF(経路検索F!B7&lt;&gt;0,経路検索F!F6,"")</f>
        <v/>
      </c>
      <c r="D15" s="529" t="str">
        <f>IF(C15="","",IFERROR(VLOOKUP(C15&amp;"-"&amp;C16,経路検索F!$G:$J,2,0),"乗換"))</f>
        <v/>
      </c>
      <c r="E15" s="506"/>
      <c r="F15" s="502"/>
      <c r="G15" s="33"/>
      <c r="H15" s="502"/>
      <c r="I15" s="33"/>
      <c r="J15" s="502"/>
      <c r="K15" s="33"/>
      <c r="L15" s="502"/>
      <c r="M15" s="33"/>
      <c r="N15" s="502"/>
      <c r="O15" s="33"/>
      <c r="P15" s="527"/>
      <c r="W15" s="537"/>
      <c r="X15" s="125"/>
      <c r="Y15" s="537"/>
      <c r="Z15" s="125"/>
      <c r="AL15" s="78" t="str">
        <f>キロマスタ!F4</f>
        <v>タクシー</v>
      </c>
      <c r="AM15" s="79">
        <f t="shared" si="0"/>
        <v>0</v>
      </c>
      <c r="AN15" s="79">
        <f t="shared" si="1"/>
        <v>0</v>
      </c>
    </row>
    <row r="16" spans="1:42" s="26" customFormat="1" ht="22.35" customHeight="1" x14ac:dyDescent="0.15">
      <c r="A16" s="24"/>
      <c r="B16" s="34" t="str">
        <f>IF(VLOOKUP(B15,経路検索!$A$3:$B$40,2,0)=0,"","("&amp;RIGHT(VLOOKUP(B15,経路検索!$A$3:$B$40,2,0),3)&amp;")")</f>
        <v/>
      </c>
      <c r="C16" s="35" t="str">
        <f>IF(経路検索F!B7&lt;&gt;0,経路検索F!F7,"")</f>
        <v/>
      </c>
      <c r="D16" s="530"/>
      <c r="E16" s="507"/>
      <c r="F16" s="503"/>
      <c r="G16" s="36" t="s">
        <v>26</v>
      </c>
      <c r="H16" s="503"/>
      <c r="I16" s="36" t="s">
        <v>26</v>
      </c>
      <c r="J16" s="503"/>
      <c r="K16" s="36" t="s">
        <v>26</v>
      </c>
      <c r="L16" s="503"/>
      <c r="M16" s="36" t="s">
        <v>26</v>
      </c>
      <c r="N16" s="503"/>
      <c r="O16" s="36" t="s">
        <v>26</v>
      </c>
      <c r="P16" s="528"/>
      <c r="W16" s="537"/>
      <c r="X16" s="125"/>
      <c r="Y16" s="537"/>
      <c r="Z16" s="125"/>
      <c r="AL16" s="78" t="str">
        <f>キロマスタ!F5</f>
        <v>バス</v>
      </c>
      <c r="AM16" s="79">
        <f t="shared" si="0"/>
        <v>0</v>
      </c>
      <c r="AN16" s="79">
        <f t="shared" si="1"/>
        <v>0</v>
      </c>
    </row>
    <row r="17" spans="1:42" s="26" customFormat="1" ht="22.35" customHeight="1" x14ac:dyDescent="0.15">
      <c r="A17" s="24"/>
      <c r="B17" s="147">
        <v>5</v>
      </c>
      <c r="C17" s="32" t="str">
        <f>IF(経路検索F!B8&lt;&gt;0,経路検索F!F7,"")</f>
        <v/>
      </c>
      <c r="D17" s="529" t="str">
        <f>IF(C17="","",IFERROR(VLOOKUP(C17&amp;"-"&amp;C18,経路検索F!$G:$J,2,0),"乗換"))</f>
        <v/>
      </c>
      <c r="E17" s="506"/>
      <c r="F17" s="502"/>
      <c r="G17" s="33"/>
      <c r="H17" s="502"/>
      <c r="I17" s="33"/>
      <c r="J17" s="502"/>
      <c r="K17" s="33"/>
      <c r="L17" s="502"/>
      <c r="M17" s="33"/>
      <c r="N17" s="502"/>
      <c r="O17" s="33"/>
      <c r="P17" s="527"/>
      <c r="W17" s="537"/>
      <c r="X17" s="125"/>
      <c r="Y17" s="537"/>
      <c r="Z17" s="125"/>
      <c r="AL17" s="78" t="str">
        <f>キロマスタ!F6</f>
        <v>飛行機</v>
      </c>
      <c r="AM17" s="82">
        <f t="shared" si="0"/>
        <v>0</v>
      </c>
      <c r="AN17" s="82">
        <f t="shared" si="1"/>
        <v>0</v>
      </c>
    </row>
    <row r="18" spans="1:42" s="26" customFormat="1" ht="22.35" customHeight="1" x14ac:dyDescent="0.15">
      <c r="A18" s="24"/>
      <c r="B18" s="34" t="str">
        <f>IF(VLOOKUP(B17,経路検索!$A$3:$B$40,2,0)=0,"","("&amp;RIGHT(VLOOKUP(B17,経路検索!$A$3:$B$40,2,0),3)&amp;")")</f>
        <v/>
      </c>
      <c r="C18" s="35" t="str">
        <f>IF(経路検索F!B8&lt;&gt;0,経路検索F!F8,"")</f>
        <v/>
      </c>
      <c r="D18" s="530"/>
      <c r="E18" s="507"/>
      <c r="F18" s="503"/>
      <c r="G18" s="36" t="s">
        <v>26</v>
      </c>
      <c r="H18" s="503"/>
      <c r="I18" s="36" t="s">
        <v>26</v>
      </c>
      <c r="J18" s="503"/>
      <c r="K18" s="36" t="s">
        <v>26</v>
      </c>
      <c r="L18" s="503"/>
      <c r="M18" s="36" t="s">
        <v>26</v>
      </c>
      <c r="N18" s="503"/>
      <c r="O18" s="36" t="s">
        <v>26</v>
      </c>
      <c r="P18" s="528"/>
      <c r="W18" s="537"/>
      <c r="X18" s="125"/>
      <c r="Y18" s="537"/>
      <c r="Z18" s="125"/>
      <c r="AL18" s="78" t="str">
        <f>キロマスタ!F7</f>
        <v>船</v>
      </c>
      <c r="AM18" s="82">
        <f t="shared" si="0"/>
        <v>0</v>
      </c>
      <c r="AN18" s="82">
        <f t="shared" si="1"/>
        <v>0</v>
      </c>
    </row>
    <row r="19" spans="1:42" s="26" customFormat="1" ht="22.35" customHeight="1" x14ac:dyDescent="0.15">
      <c r="A19" s="24"/>
      <c r="B19" s="147">
        <v>6</v>
      </c>
      <c r="C19" s="32" t="str">
        <f>IF(経路検索F!B9&lt;&gt;0,経路検索F!F8,"")</f>
        <v/>
      </c>
      <c r="D19" s="529" t="str">
        <f>IF(C19="","",IFERROR(VLOOKUP(C19&amp;"-"&amp;C20,経路検索F!$G:$J,2,0),"乗換"))</f>
        <v/>
      </c>
      <c r="E19" s="506"/>
      <c r="F19" s="502"/>
      <c r="G19" s="33"/>
      <c r="H19" s="502"/>
      <c r="I19" s="33"/>
      <c r="J19" s="502"/>
      <c r="K19" s="33"/>
      <c r="L19" s="502"/>
      <c r="M19" s="33"/>
      <c r="N19" s="502"/>
      <c r="O19" s="33"/>
      <c r="P19" s="527"/>
      <c r="W19" s="537"/>
      <c r="X19" s="125"/>
      <c r="Y19" s="537"/>
      <c r="Z19" s="125"/>
      <c r="AL19" s="78" t="str">
        <f>キロマスタ!F8</f>
        <v>ヘリ</v>
      </c>
      <c r="AM19" s="81">
        <f t="shared" si="0"/>
        <v>0</v>
      </c>
      <c r="AN19" s="81">
        <f t="shared" si="1"/>
        <v>0</v>
      </c>
    </row>
    <row r="20" spans="1:42" s="26" customFormat="1" ht="22.35" customHeight="1" x14ac:dyDescent="0.15">
      <c r="A20" s="24"/>
      <c r="B20" s="34" t="str">
        <f>IF(VLOOKUP(B19,経路検索!$A$3:$B$40,2,0)=0,"","("&amp;RIGHT(VLOOKUP(B19,経路検索!$A$3:$B$40,2,0),3)&amp;")")</f>
        <v/>
      </c>
      <c r="C20" s="35" t="str">
        <f>IF(経路検索F!B9&lt;&gt;0,経路検索F!F9,"")</f>
        <v/>
      </c>
      <c r="D20" s="530"/>
      <c r="E20" s="507"/>
      <c r="F20" s="503"/>
      <c r="G20" s="36" t="s">
        <v>26</v>
      </c>
      <c r="H20" s="503"/>
      <c r="I20" s="36" t="s">
        <v>26</v>
      </c>
      <c r="J20" s="503"/>
      <c r="K20" s="36" t="s">
        <v>26</v>
      </c>
      <c r="L20" s="503"/>
      <c r="M20" s="36" t="s">
        <v>26</v>
      </c>
      <c r="N20" s="503"/>
      <c r="O20" s="36" t="s">
        <v>26</v>
      </c>
      <c r="P20" s="528"/>
      <c r="W20" s="537"/>
      <c r="X20" s="125"/>
      <c r="Y20" s="537"/>
      <c r="Z20" s="125"/>
      <c r="AL20" s="78">
        <f>キロマスタ!F9</f>
        <v>0</v>
      </c>
      <c r="AM20" s="81">
        <f t="shared" si="0"/>
        <v>0</v>
      </c>
      <c r="AN20" s="81">
        <f t="shared" si="1"/>
        <v>0</v>
      </c>
    </row>
    <row r="21" spans="1:42" s="26" customFormat="1" ht="22.35" customHeight="1" x14ac:dyDescent="0.15">
      <c r="A21" s="24"/>
      <c r="B21" s="147">
        <v>7</v>
      </c>
      <c r="C21" s="32" t="str">
        <f>IF(経路検索F!B10&lt;&gt;0,経路検索F!F9,"")</f>
        <v/>
      </c>
      <c r="D21" s="529" t="str">
        <f>IF(C21="","",IFERROR(VLOOKUP(C21&amp;"-"&amp;C22,経路検索F!$G:$J,2,0),"乗換"))</f>
        <v/>
      </c>
      <c r="E21" s="506"/>
      <c r="F21" s="502"/>
      <c r="G21" s="33"/>
      <c r="H21" s="502"/>
      <c r="I21" s="33"/>
      <c r="J21" s="502"/>
      <c r="K21" s="33"/>
      <c r="L21" s="502"/>
      <c r="M21" s="33"/>
      <c r="N21" s="502"/>
      <c r="O21" s="33"/>
      <c r="P21" s="527"/>
      <c r="W21" s="537"/>
      <c r="X21" s="125"/>
      <c r="Y21" s="537"/>
      <c r="Z21" s="125"/>
      <c r="AL21" s="78">
        <f>キロマスタ!F10</f>
        <v>0</v>
      </c>
      <c r="AM21" s="81">
        <f t="shared" si="0"/>
        <v>0</v>
      </c>
      <c r="AN21" s="81">
        <f t="shared" si="1"/>
        <v>0</v>
      </c>
      <c r="AO21" s="23"/>
      <c r="AP21" s="23"/>
    </row>
    <row r="22" spans="1:42" s="26" customFormat="1" ht="22.35" customHeight="1" x14ac:dyDescent="0.15">
      <c r="A22" s="24"/>
      <c r="B22" s="34" t="str">
        <f>IF(VLOOKUP(B21,経路検索!$A$3:$B$40,2,0)=0,"","("&amp;RIGHT(VLOOKUP(B21,経路検索!$A$3:$B$40,2,0),3)&amp;")")</f>
        <v/>
      </c>
      <c r="C22" s="35" t="str">
        <f>IF(経路検索F!B10&lt;&gt;0,経路検索F!F10,"")</f>
        <v/>
      </c>
      <c r="D22" s="530"/>
      <c r="E22" s="507"/>
      <c r="F22" s="503"/>
      <c r="G22" s="36" t="s">
        <v>26</v>
      </c>
      <c r="H22" s="503"/>
      <c r="I22" s="36" t="s">
        <v>26</v>
      </c>
      <c r="J22" s="503"/>
      <c r="K22" s="36" t="s">
        <v>26</v>
      </c>
      <c r="L22" s="503"/>
      <c r="M22" s="36" t="s">
        <v>26</v>
      </c>
      <c r="N22" s="503"/>
      <c r="O22" s="36" t="s">
        <v>26</v>
      </c>
      <c r="P22" s="528"/>
      <c r="W22" s="537"/>
      <c r="X22" s="125"/>
      <c r="Y22" s="537"/>
      <c r="Z22" s="125"/>
      <c r="AL22" s="78">
        <f>キロマスタ!F11</f>
        <v>0</v>
      </c>
      <c r="AM22" s="81">
        <f t="shared" si="0"/>
        <v>0</v>
      </c>
      <c r="AN22" s="81">
        <f t="shared" si="1"/>
        <v>0</v>
      </c>
      <c r="AO22" s="23"/>
      <c r="AP22" s="23"/>
    </row>
    <row r="23" spans="1:42" s="26" customFormat="1" ht="22.35" customHeight="1" x14ac:dyDescent="0.15">
      <c r="A23" s="24"/>
      <c r="B23" s="147">
        <v>8</v>
      </c>
      <c r="C23" s="32" t="str">
        <f>IF(経路検索F!B11&lt;&gt;0,経路検索F!F10,"")</f>
        <v/>
      </c>
      <c r="D23" s="529" t="str">
        <f>IF(C23="","",IFERROR(VLOOKUP(C23&amp;"-"&amp;C24,経路検索F!$G:$J,2,0),"乗換"))</f>
        <v/>
      </c>
      <c r="E23" s="506"/>
      <c r="F23" s="502"/>
      <c r="G23" s="33"/>
      <c r="H23" s="502"/>
      <c r="I23" s="33"/>
      <c r="J23" s="502"/>
      <c r="K23" s="33"/>
      <c r="L23" s="502"/>
      <c r="M23" s="33"/>
      <c r="N23" s="502"/>
      <c r="O23" s="33"/>
      <c r="P23" s="527"/>
      <c r="W23" s="537"/>
      <c r="X23" s="125"/>
      <c r="Y23" s="537"/>
      <c r="Z23" s="125"/>
      <c r="AL23" s="78">
        <f>キロマスタ!F12</f>
        <v>0</v>
      </c>
      <c r="AM23" s="81">
        <f t="shared" si="0"/>
        <v>0</v>
      </c>
      <c r="AN23" s="81">
        <f t="shared" si="1"/>
        <v>0</v>
      </c>
      <c r="AO23" s="23"/>
      <c r="AP23" s="23"/>
    </row>
    <row r="24" spans="1:42" s="26" customFormat="1" ht="22.35" customHeight="1" x14ac:dyDescent="0.15">
      <c r="A24" s="24"/>
      <c r="B24" s="34" t="str">
        <f>IF(VLOOKUP(B23,経路検索!$A$3:$B$40,2,0)=0,"","("&amp;RIGHT(VLOOKUP(B23,経路検索!$A$3:$B$40,2,0),3)&amp;")")</f>
        <v/>
      </c>
      <c r="C24" s="35" t="str">
        <f>IF(経路検索F!B11&lt;&gt;0,経路検索F!F11,"")</f>
        <v/>
      </c>
      <c r="D24" s="530"/>
      <c r="E24" s="507"/>
      <c r="F24" s="503"/>
      <c r="G24" s="36" t="s">
        <v>26</v>
      </c>
      <c r="H24" s="503"/>
      <c r="I24" s="36" t="s">
        <v>26</v>
      </c>
      <c r="J24" s="503"/>
      <c r="K24" s="36" t="s">
        <v>26</v>
      </c>
      <c r="L24" s="503"/>
      <c r="M24" s="36" t="s">
        <v>26</v>
      </c>
      <c r="N24" s="503"/>
      <c r="O24" s="36" t="s">
        <v>26</v>
      </c>
      <c r="P24" s="528"/>
      <c r="W24" s="537"/>
      <c r="X24" s="125"/>
      <c r="Y24" s="537"/>
      <c r="Z24" s="125"/>
      <c r="AL24" s="78">
        <f>キロマスタ!F13</f>
        <v>0</v>
      </c>
      <c r="AM24" s="81">
        <f t="shared" si="0"/>
        <v>0</v>
      </c>
      <c r="AN24" s="81">
        <f t="shared" si="1"/>
        <v>0</v>
      </c>
    </row>
    <row r="25" spans="1:42" s="26" customFormat="1" ht="22.35" customHeight="1" x14ac:dyDescent="0.15">
      <c r="A25" s="24"/>
      <c r="B25" s="147">
        <v>9</v>
      </c>
      <c r="C25" s="32" t="str">
        <f>IF(経路検索F!B12&lt;&gt;0,経路検索F!F11,"")</f>
        <v/>
      </c>
      <c r="D25" s="529" t="str">
        <f>IF(C25="","",IFERROR(VLOOKUP(C25&amp;"-"&amp;C26,経路検索F!$G:$J,2,0),"乗換"))</f>
        <v/>
      </c>
      <c r="E25" s="506"/>
      <c r="F25" s="502"/>
      <c r="G25" s="33"/>
      <c r="H25" s="502"/>
      <c r="I25" s="33"/>
      <c r="J25" s="502"/>
      <c r="K25" s="33"/>
      <c r="L25" s="502"/>
      <c r="M25" s="33"/>
      <c r="N25" s="502"/>
      <c r="O25" s="33"/>
      <c r="P25" s="527"/>
      <c r="W25" s="537"/>
      <c r="X25" s="125"/>
      <c r="Y25" s="537"/>
      <c r="Z25" s="125"/>
      <c r="AL25" s="78">
        <f>キロマスタ!F14</f>
        <v>0</v>
      </c>
      <c r="AM25" s="81">
        <f t="shared" si="0"/>
        <v>0</v>
      </c>
      <c r="AN25" s="81">
        <f t="shared" si="1"/>
        <v>0</v>
      </c>
    </row>
    <row r="26" spans="1:42" s="26" customFormat="1" ht="22.35" customHeight="1" x14ac:dyDescent="0.15">
      <c r="A26" s="24"/>
      <c r="B26" s="34" t="str">
        <f>IF(VLOOKUP(B25,経路検索!$A$3:$B$40,2,0)=0,"","("&amp;RIGHT(VLOOKUP(B25,経路検索!$A$3:$B$40,2,0),3)&amp;")")</f>
        <v/>
      </c>
      <c r="C26" s="35" t="str">
        <f>IF(経路検索F!B12&lt;&gt;0,経路検索F!F12,"")</f>
        <v/>
      </c>
      <c r="D26" s="530"/>
      <c r="E26" s="507"/>
      <c r="F26" s="503"/>
      <c r="G26" s="36" t="s">
        <v>26</v>
      </c>
      <c r="H26" s="503"/>
      <c r="I26" s="36" t="s">
        <v>26</v>
      </c>
      <c r="J26" s="503"/>
      <c r="K26" s="36" t="s">
        <v>26</v>
      </c>
      <c r="L26" s="503"/>
      <c r="M26" s="36" t="s">
        <v>26</v>
      </c>
      <c r="N26" s="503"/>
      <c r="O26" s="36" t="s">
        <v>26</v>
      </c>
      <c r="P26" s="528"/>
      <c r="W26" s="537"/>
      <c r="X26" s="125"/>
      <c r="Y26" s="537"/>
      <c r="Z26" s="125"/>
      <c r="AL26" s="78">
        <f>キロマスタ!F15</f>
        <v>0</v>
      </c>
      <c r="AM26" s="81">
        <f t="shared" si="0"/>
        <v>0</v>
      </c>
      <c r="AN26" s="81">
        <f t="shared" si="1"/>
        <v>0</v>
      </c>
    </row>
    <row r="27" spans="1:42" s="26" customFormat="1" ht="22.35" customHeight="1" x14ac:dyDescent="0.15">
      <c r="A27" s="24"/>
      <c r="B27" s="147">
        <v>10</v>
      </c>
      <c r="C27" s="32" t="str">
        <f>IF(経路検索F!B13&lt;&gt;0,経路検索F!F12,"")</f>
        <v/>
      </c>
      <c r="D27" s="529" t="str">
        <f>IF(C27="","",IFERROR(VLOOKUP(C27&amp;"-"&amp;C28,経路検索F!$G:$J,2,0),"乗換"))</f>
        <v/>
      </c>
      <c r="E27" s="506"/>
      <c r="F27" s="502"/>
      <c r="G27" s="33"/>
      <c r="H27" s="502"/>
      <c r="I27" s="33"/>
      <c r="J27" s="502"/>
      <c r="K27" s="33"/>
      <c r="L27" s="502"/>
      <c r="M27" s="33"/>
      <c r="N27" s="502"/>
      <c r="O27" s="33"/>
      <c r="P27" s="527"/>
      <c r="W27" s="537"/>
      <c r="X27" s="125"/>
      <c r="Y27" s="537"/>
      <c r="Z27" s="125"/>
      <c r="AL27" s="78">
        <f>キロマスタ!F16</f>
        <v>0</v>
      </c>
      <c r="AM27" s="81">
        <f t="shared" si="0"/>
        <v>0</v>
      </c>
      <c r="AN27" s="81">
        <f t="shared" si="1"/>
        <v>0</v>
      </c>
    </row>
    <row r="28" spans="1:42" s="26" customFormat="1" ht="22.35" customHeight="1" x14ac:dyDescent="0.15">
      <c r="A28" s="24"/>
      <c r="B28" s="34" t="str">
        <f>IF(VLOOKUP(B27,経路検索!$A$3:$B$40,2,0)=0,"","("&amp;RIGHT(VLOOKUP(B27,経路検索!$A$3:$B$40,2,0),3)&amp;")")</f>
        <v/>
      </c>
      <c r="C28" s="35" t="str">
        <f>IF(経路検索F!B13&lt;&gt;0,経路検索F!F13,"")</f>
        <v/>
      </c>
      <c r="D28" s="530"/>
      <c r="E28" s="507"/>
      <c r="F28" s="503"/>
      <c r="G28" s="36" t="s">
        <v>26</v>
      </c>
      <c r="H28" s="503"/>
      <c r="I28" s="36" t="s">
        <v>26</v>
      </c>
      <c r="J28" s="503"/>
      <c r="K28" s="36" t="s">
        <v>26</v>
      </c>
      <c r="L28" s="503"/>
      <c r="M28" s="36" t="s">
        <v>26</v>
      </c>
      <c r="N28" s="503"/>
      <c r="O28" s="36" t="s">
        <v>26</v>
      </c>
      <c r="P28" s="528"/>
      <c r="W28" s="537"/>
      <c r="X28" s="125"/>
      <c r="Y28" s="537"/>
      <c r="Z28" s="125"/>
      <c r="AL28" s="78">
        <f>キロマスタ!F17</f>
        <v>0</v>
      </c>
      <c r="AM28" s="80">
        <f t="shared" si="0"/>
        <v>0</v>
      </c>
      <c r="AN28" s="80">
        <f t="shared" si="1"/>
        <v>0</v>
      </c>
    </row>
    <row r="29" spans="1:42" s="26" customFormat="1" ht="22.35" customHeight="1" x14ac:dyDescent="0.15">
      <c r="A29" s="24"/>
      <c r="B29" s="147">
        <v>11</v>
      </c>
      <c r="C29" s="32" t="str">
        <f>IF(経路検索F!B14&lt;&gt;0,経路検索F!F13,"")</f>
        <v/>
      </c>
      <c r="D29" s="529" t="str">
        <f>IF(C29="","",IFERROR(VLOOKUP(C29&amp;"-"&amp;C30,経路検索F!$G:$J,2,0),"乗換"))</f>
        <v/>
      </c>
      <c r="E29" s="506"/>
      <c r="F29" s="502"/>
      <c r="G29" s="33"/>
      <c r="H29" s="502"/>
      <c r="I29" s="33"/>
      <c r="J29" s="502"/>
      <c r="K29" s="33"/>
      <c r="L29" s="502"/>
      <c r="M29" s="33"/>
      <c r="N29" s="502"/>
      <c r="O29" s="33"/>
      <c r="P29" s="527"/>
      <c r="W29" s="537"/>
      <c r="X29" s="125"/>
      <c r="Y29" s="537"/>
      <c r="Z29" s="125"/>
      <c r="AL29" s="78">
        <f>キロマスタ!F18</f>
        <v>0</v>
      </c>
      <c r="AM29" s="80">
        <f t="shared" si="0"/>
        <v>0</v>
      </c>
      <c r="AN29" s="80">
        <f t="shared" si="1"/>
        <v>0</v>
      </c>
    </row>
    <row r="30" spans="1:42" s="26" customFormat="1" ht="22.35" customHeight="1" x14ac:dyDescent="0.15">
      <c r="A30" s="24"/>
      <c r="B30" s="34" t="str">
        <f>IF(VLOOKUP(B29,経路検索!$A$3:$B$40,2,0)=0,"","("&amp;RIGHT(VLOOKUP(B29,経路検索!$A$3:$B$40,2,0),3)&amp;")")</f>
        <v/>
      </c>
      <c r="C30" s="35" t="str">
        <f>IF(経路検索F!B14&lt;&gt;0,経路検索F!F14,"")</f>
        <v/>
      </c>
      <c r="D30" s="530"/>
      <c r="E30" s="507"/>
      <c r="F30" s="503"/>
      <c r="G30" s="36" t="s">
        <v>26</v>
      </c>
      <c r="H30" s="503"/>
      <c r="I30" s="36" t="s">
        <v>26</v>
      </c>
      <c r="J30" s="503"/>
      <c r="K30" s="36" t="s">
        <v>26</v>
      </c>
      <c r="L30" s="503"/>
      <c r="M30" s="36" t="s">
        <v>26</v>
      </c>
      <c r="N30" s="503"/>
      <c r="O30" s="36" t="s">
        <v>26</v>
      </c>
      <c r="P30" s="528"/>
      <c r="W30" s="537"/>
      <c r="X30" s="125"/>
      <c r="Y30" s="537"/>
      <c r="Z30" s="125"/>
      <c r="AL30" s="78">
        <f>キロマスタ!F19</f>
        <v>0</v>
      </c>
      <c r="AM30" s="80">
        <f t="shared" si="0"/>
        <v>0</v>
      </c>
      <c r="AN30" s="80">
        <f t="shared" si="1"/>
        <v>0</v>
      </c>
    </row>
    <row r="31" spans="1:42" s="26" customFormat="1" ht="22.35" customHeight="1" x14ac:dyDescent="0.15">
      <c r="A31" s="24"/>
      <c r="B31" s="147">
        <v>12</v>
      </c>
      <c r="C31" s="32" t="str">
        <f>IF(経路検索F!B15&lt;&gt;0,経路検索F!F14,"")</f>
        <v/>
      </c>
      <c r="D31" s="529" t="str">
        <f>IF(C31="","",IFERROR(VLOOKUP(C31&amp;"-"&amp;C32,経路検索F!$G:$J,2,0),"乗換"))</f>
        <v/>
      </c>
      <c r="E31" s="506"/>
      <c r="F31" s="502"/>
      <c r="G31" s="33"/>
      <c r="H31" s="502"/>
      <c r="I31" s="33"/>
      <c r="J31" s="502"/>
      <c r="K31" s="33"/>
      <c r="L31" s="502"/>
      <c r="M31" s="33"/>
      <c r="N31" s="502"/>
      <c r="O31" s="33"/>
      <c r="P31" s="527"/>
      <c r="W31" s="537"/>
      <c r="X31" s="125"/>
      <c r="Y31" s="537"/>
      <c r="Z31" s="125"/>
      <c r="AL31" s="78">
        <f>キロマスタ!F20</f>
        <v>0</v>
      </c>
      <c r="AM31" s="80">
        <f t="shared" si="0"/>
        <v>0</v>
      </c>
      <c r="AN31" s="80">
        <f t="shared" si="1"/>
        <v>0</v>
      </c>
    </row>
    <row r="32" spans="1:42" s="26" customFormat="1" ht="22.35" customHeight="1" x14ac:dyDescent="0.15">
      <c r="A32" s="24"/>
      <c r="B32" s="34" t="str">
        <f>IF(VLOOKUP(B31,経路検索!$A$3:$B$40,2,0)=0,"","("&amp;RIGHT(VLOOKUP(B31,経路検索!$A$3:$B$40,2,0),3)&amp;")")</f>
        <v/>
      </c>
      <c r="C32" s="35" t="str">
        <f>IF(経路検索F!B15&lt;&gt;0,経路検索F!F15,"")</f>
        <v/>
      </c>
      <c r="D32" s="530"/>
      <c r="E32" s="507"/>
      <c r="F32" s="503"/>
      <c r="G32" s="36" t="s">
        <v>26</v>
      </c>
      <c r="H32" s="503"/>
      <c r="I32" s="36" t="s">
        <v>26</v>
      </c>
      <c r="J32" s="503"/>
      <c r="K32" s="36" t="s">
        <v>26</v>
      </c>
      <c r="L32" s="503"/>
      <c r="M32" s="36" t="s">
        <v>26</v>
      </c>
      <c r="N32" s="503"/>
      <c r="O32" s="36" t="s">
        <v>26</v>
      </c>
      <c r="P32" s="528"/>
      <c r="W32" s="537"/>
      <c r="X32" s="125"/>
      <c r="Y32" s="537"/>
      <c r="Z32" s="125"/>
      <c r="AL32" s="78">
        <f>キロマスタ!F21</f>
        <v>0</v>
      </c>
      <c r="AM32" s="80">
        <f t="shared" si="0"/>
        <v>0</v>
      </c>
      <c r="AN32" s="80">
        <f t="shared" si="1"/>
        <v>0</v>
      </c>
    </row>
    <row r="33" spans="1:40" s="26" customFormat="1" ht="22.35" customHeight="1" x14ac:dyDescent="0.15">
      <c r="A33" s="24"/>
      <c r="B33" s="147">
        <v>13</v>
      </c>
      <c r="C33" s="32" t="str">
        <f>IF(経路検索F!B16&lt;&gt;0,経路検索F!F15,"")</f>
        <v/>
      </c>
      <c r="D33" s="529" t="str">
        <f>IF(C33="","",IFERROR(VLOOKUP(C33&amp;"-"&amp;C34,経路検索F!$G:$J,2,0),"乗換"))</f>
        <v/>
      </c>
      <c r="E33" s="506"/>
      <c r="F33" s="502"/>
      <c r="G33" s="33"/>
      <c r="H33" s="502"/>
      <c r="I33" s="33"/>
      <c r="J33" s="502"/>
      <c r="K33" s="33"/>
      <c r="L33" s="502"/>
      <c r="M33" s="33"/>
      <c r="N33" s="502"/>
      <c r="O33" s="33"/>
      <c r="P33" s="527"/>
      <c r="W33" s="537"/>
      <c r="X33" s="125"/>
      <c r="Y33" s="537"/>
      <c r="Z33" s="125"/>
      <c r="AL33" s="78">
        <f>キロマスタ!F22</f>
        <v>0</v>
      </c>
      <c r="AM33" s="80">
        <f t="shared" si="0"/>
        <v>0</v>
      </c>
      <c r="AN33" s="80">
        <f t="shared" si="1"/>
        <v>0</v>
      </c>
    </row>
    <row r="34" spans="1:40" s="26" customFormat="1" ht="22.35" customHeight="1" x14ac:dyDescent="0.15">
      <c r="A34" s="24"/>
      <c r="B34" s="34" t="str">
        <f>IF(VLOOKUP(B33,経路検索!$A$3:$B$40,2,0)=0,"","("&amp;RIGHT(VLOOKUP(B33,経路検索!$A$3:$B$40,2,0),3)&amp;")")</f>
        <v/>
      </c>
      <c r="C34" s="35" t="str">
        <f>IF(経路検索F!B16&lt;&gt;0,経路検索F!F16,"")</f>
        <v/>
      </c>
      <c r="D34" s="530"/>
      <c r="E34" s="507"/>
      <c r="F34" s="503"/>
      <c r="G34" s="36" t="s">
        <v>26</v>
      </c>
      <c r="H34" s="503"/>
      <c r="I34" s="36" t="s">
        <v>26</v>
      </c>
      <c r="J34" s="503"/>
      <c r="K34" s="36" t="s">
        <v>26</v>
      </c>
      <c r="L34" s="503"/>
      <c r="M34" s="36" t="s">
        <v>26</v>
      </c>
      <c r="N34" s="503"/>
      <c r="O34" s="36" t="s">
        <v>26</v>
      </c>
      <c r="P34" s="528"/>
      <c r="W34" s="537"/>
      <c r="X34" s="125"/>
      <c r="Y34" s="537"/>
      <c r="Z34" s="125"/>
      <c r="AL34" s="78">
        <f>キロマスタ!F23</f>
        <v>0</v>
      </c>
      <c r="AM34" s="80">
        <f t="shared" si="0"/>
        <v>0</v>
      </c>
      <c r="AN34" s="80">
        <f t="shared" si="1"/>
        <v>0</v>
      </c>
    </row>
    <row r="35" spans="1:40" s="26" customFormat="1" ht="22.35" customHeight="1" x14ac:dyDescent="0.15">
      <c r="A35" s="24"/>
      <c r="B35" s="147">
        <v>14</v>
      </c>
      <c r="C35" s="32" t="str">
        <f>IF(経路検索F!B17&lt;&gt;0,経路検索F!F16,"")</f>
        <v/>
      </c>
      <c r="D35" s="529" t="str">
        <f>IF(C35="","",IFERROR(VLOOKUP(C35&amp;"-"&amp;C36,経路検索F!$G:$J,2,0),"乗換"))</f>
        <v/>
      </c>
      <c r="E35" s="506"/>
      <c r="F35" s="502"/>
      <c r="G35" s="33"/>
      <c r="H35" s="502"/>
      <c r="I35" s="33"/>
      <c r="J35" s="502"/>
      <c r="K35" s="33"/>
      <c r="L35" s="502"/>
      <c r="M35" s="33"/>
      <c r="N35" s="502"/>
      <c r="O35" s="33"/>
      <c r="P35" s="527"/>
      <c r="W35" s="537"/>
      <c r="X35" s="125"/>
      <c r="Y35" s="537"/>
      <c r="Z35" s="125"/>
      <c r="AL35" s="78">
        <f>キロマスタ!F24</f>
        <v>0</v>
      </c>
      <c r="AM35" s="80">
        <f t="shared" si="0"/>
        <v>0</v>
      </c>
      <c r="AN35" s="80">
        <f t="shared" si="1"/>
        <v>0</v>
      </c>
    </row>
    <row r="36" spans="1:40" s="26" customFormat="1" ht="22.35" customHeight="1" x14ac:dyDescent="0.15">
      <c r="A36" s="24"/>
      <c r="B36" s="34" t="str">
        <f>IF(VLOOKUP(B35,経路検索!$A$3:$B$40,2,0)=0,"","("&amp;RIGHT(VLOOKUP(B35,経路検索!$A$3:$B$40,2,0),3)&amp;")")</f>
        <v/>
      </c>
      <c r="C36" s="35" t="str">
        <f>IF(経路検索F!B17&lt;&gt;0,経路検索F!F17,"")</f>
        <v/>
      </c>
      <c r="D36" s="530"/>
      <c r="E36" s="507"/>
      <c r="F36" s="503"/>
      <c r="G36" s="36" t="s">
        <v>26</v>
      </c>
      <c r="H36" s="503"/>
      <c r="I36" s="36" t="s">
        <v>26</v>
      </c>
      <c r="J36" s="503"/>
      <c r="K36" s="36" t="s">
        <v>26</v>
      </c>
      <c r="L36" s="503"/>
      <c r="M36" s="36" t="s">
        <v>26</v>
      </c>
      <c r="N36" s="503"/>
      <c r="O36" s="36" t="s">
        <v>26</v>
      </c>
      <c r="P36" s="528"/>
      <c r="W36" s="537"/>
      <c r="X36" s="125"/>
      <c r="Y36" s="537"/>
      <c r="Z36" s="125"/>
      <c r="AL36" s="78">
        <f>キロマスタ!F25</f>
        <v>0</v>
      </c>
      <c r="AM36" s="80">
        <f t="shared" si="0"/>
        <v>0</v>
      </c>
      <c r="AN36" s="80">
        <f t="shared" si="1"/>
        <v>0</v>
      </c>
    </row>
    <row r="37" spans="1:40" s="26" customFormat="1" ht="22.35" customHeight="1" x14ac:dyDescent="0.15">
      <c r="A37" s="24"/>
      <c r="B37" s="147">
        <v>15</v>
      </c>
      <c r="C37" s="32" t="str">
        <f>IF(経路検索F!B18&lt;&gt;0,経路検索F!F17,"")</f>
        <v/>
      </c>
      <c r="D37" s="529" t="str">
        <f>IF(C37="","",IFERROR(VLOOKUP(C37&amp;"-"&amp;C38,経路検索F!$G:$J,2,0),"乗換"))</f>
        <v/>
      </c>
      <c r="E37" s="506"/>
      <c r="F37" s="502"/>
      <c r="G37" s="33"/>
      <c r="H37" s="502"/>
      <c r="I37" s="33"/>
      <c r="J37" s="502"/>
      <c r="K37" s="33"/>
      <c r="L37" s="502"/>
      <c r="M37" s="33"/>
      <c r="N37" s="502"/>
      <c r="O37" s="33"/>
      <c r="P37" s="527"/>
      <c r="W37" s="537"/>
      <c r="X37" s="125"/>
      <c r="Y37" s="537"/>
      <c r="Z37" s="125"/>
      <c r="AL37" s="78">
        <f>キロマスタ!F26</f>
        <v>0</v>
      </c>
      <c r="AM37" s="80">
        <f t="shared" si="0"/>
        <v>0</v>
      </c>
      <c r="AN37" s="80">
        <f t="shared" si="1"/>
        <v>0</v>
      </c>
    </row>
    <row r="38" spans="1:40" s="26" customFormat="1" ht="22.35" customHeight="1" x14ac:dyDescent="0.15">
      <c r="A38" s="24"/>
      <c r="B38" s="34" t="str">
        <f>IF(VLOOKUP(B37,経路検索!$A$3:$B$40,2,0)=0,"","("&amp;RIGHT(VLOOKUP(B37,経路検索!$A$3:$B$40,2,0),3)&amp;")")</f>
        <v/>
      </c>
      <c r="C38" s="35" t="str">
        <f>IF(経路検索F!B18&lt;&gt;0,経路検索F!F18,"")</f>
        <v/>
      </c>
      <c r="D38" s="530"/>
      <c r="E38" s="507"/>
      <c r="F38" s="503"/>
      <c r="G38" s="36" t="s">
        <v>26</v>
      </c>
      <c r="H38" s="503"/>
      <c r="I38" s="36" t="s">
        <v>26</v>
      </c>
      <c r="J38" s="503"/>
      <c r="K38" s="36" t="s">
        <v>26</v>
      </c>
      <c r="L38" s="503"/>
      <c r="M38" s="36" t="s">
        <v>26</v>
      </c>
      <c r="N38" s="503"/>
      <c r="O38" s="36" t="s">
        <v>26</v>
      </c>
      <c r="P38" s="528"/>
      <c r="W38" s="537"/>
      <c r="X38" s="125"/>
      <c r="Y38" s="537"/>
      <c r="Z38" s="125"/>
      <c r="AL38" s="78">
        <f>キロマスタ!F27</f>
        <v>0</v>
      </c>
      <c r="AM38" s="80">
        <f t="shared" si="0"/>
        <v>0</v>
      </c>
      <c r="AN38" s="80">
        <f t="shared" si="1"/>
        <v>0</v>
      </c>
    </row>
    <row r="39" spans="1:40" s="26" customFormat="1" ht="22.35" customHeight="1" x14ac:dyDescent="0.15">
      <c r="A39" s="24"/>
      <c r="B39" s="147">
        <v>16</v>
      </c>
      <c r="C39" s="32" t="str">
        <f>IF(経路検索F!B19&lt;&gt;0,経路検索F!F18,"")</f>
        <v/>
      </c>
      <c r="D39" s="529" t="str">
        <f>IF(C39="","",IFERROR(VLOOKUP(C39&amp;"-"&amp;C40,経路検索F!$G:$J,2,0),"乗換"))</f>
        <v/>
      </c>
      <c r="E39" s="506"/>
      <c r="F39" s="502"/>
      <c r="G39" s="33"/>
      <c r="H39" s="502"/>
      <c r="I39" s="33"/>
      <c r="J39" s="502"/>
      <c r="K39" s="33"/>
      <c r="L39" s="502"/>
      <c r="M39" s="33"/>
      <c r="N39" s="502"/>
      <c r="O39" s="33"/>
      <c r="P39" s="527"/>
      <c r="W39" s="537"/>
      <c r="X39" s="125"/>
      <c r="Y39" s="537"/>
      <c r="Z39" s="125"/>
      <c r="AL39" s="78">
        <f>キロマスタ!F28</f>
        <v>0</v>
      </c>
      <c r="AM39" s="80">
        <f t="shared" si="0"/>
        <v>0</v>
      </c>
      <c r="AN39" s="80">
        <f t="shared" si="1"/>
        <v>0</v>
      </c>
    </row>
    <row r="40" spans="1:40" s="26" customFormat="1" ht="22.35" customHeight="1" x14ac:dyDescent="0.15">
      <c r="A40" s="24"/>
      <c r="B40" s="34" t="str">
        <f>IF(VLOOKUP(B39,経路検索!$A$3:$B$40,2,0)=0,"","("&amp;RIGHT(VLOOKUP(B39,経路検索!$A$3:$B$40,2,0),3)&amp;")")</f>
        <v/>
      </c>
      <c r="C40" s="35" t="str">
        <f>IF(経路検索F!B19&lt;&gt;0,経路検索F!F19,"")</f>
        <v/>
      </c>
      <c r="D40" s="530"/>
      <c r="E40" s="507"/>
      <c r="F40" s="503"/>
      <c r="G40" s="36" t="s">
        <v>26</v>
      </c>
      <c r="H40" s="503"/>
      <c r="I40" s="36" t="s">
        <v>26</v>
      </c>
      <c r="J40" s="503"/>
      <c r="K40" s="36" t="s">
        <v>26</v>
      </c>
      <c r="L40" s="503"/>
      <c r="M40" s="36" t="s">
        <v>26</v>
      </c>
      <c r="N40" s="503"/>
      <c r="O40" s="36" t="s">
        <v>26</v>
      </c>
      <c r="P40" s="528"/>
      <c r="W40" s="537"/>
      <c r="X40" s="125"/>
      <c r="Y40" s="537"/>
      <c r="Z40" s="125"/>
      <c r="AL40" s="78">
        <f>キロマスタ!F29</f>
        <v>0</v>
      </c>
      <c r="AM40" s="80">
        <f t="shared" si="0"/>
        <v>0</v>
      </c>
      <c r="AN40" s="80">
        <f t="shared" si="1"/>
        <v>0</v>
      </c>
    </row>
    <row r="41" spans="1:40" s="26" customFormat="1" ht="22.35" customHeight="1" x14ac:dyDescent="0.15">
      <c r="A41" s="24"/>
      <c r="B41" s="147">
        <v>17</v>
      </c>
      <c r="C41" s="32" t="str">
        <f>IF(経路検索F!B20&lt;&gt;0,経路検索F!F19,"")</f>
        <v/>
      </c>
      <c r="D41" s="529" t="str">
        <f>IF(C41="","",IFERROR(VLOOKUP(C41&amp;"-"&amp;C42,経路検索F!$G:$J,2,0),"乗換"))</f>
        <v/>
      </c>
      <c r="E41" s="506"/>
      <c r="F41" s="502"/>
      <c r="G41" s="33"/>
      <c r="H41" s="502"/>
      <c r="I41" s="33"/>
      <c r="J41" s="502"/>
      <c r="K41" s="33"/>
      <c r="L41" s="502"/>
      <c r="M41" s="33"/>
      <c r="N41" s="502"/>
      <c r="O41" s="33"/>
      <c r="P41" s="527"/>
      <c r="W41" s="537"/>
      <c r="X41" s="125"/>
      <c r="Y41" s="537"/>
      <c r="Z41" s="125"/>
      <c r="AL41" s="78">
        <f>キロマスタ!F30</f>
        <v>0</v>
      </c>
      <c r="AM41" s="80">
        <f t="shared" si="0"/>
        <v>0</v>
      </c>
      <c r="AN41" s="80">
        <f t="shared" si="1"/>
        <v>0</v>
      </c>
    </row>
    <row r="42" spans="1:40" s="26" customFormat="1" ht="22.35" customHeight="1" x14ac:dyDescent="0.15">
      <c r="A42" s="24"/>
      <c r="B42" s="34" t="str">
        <f>IF(VLOOKUP(B41,経路検索!$A$3:$B$40,2,0)=0,"","("&amp;RIGHT(VLOOKUP(B41,経路検索!$A$3:$B$40,2,0),3)&amp;")")</f>
        <v/>
      </c>
      <c r="C42" s="35" t="str">
        <f>IF(経路検索F!B20&lt;&gt;0,経路検索F!F20,"")</f>
        <v/>
      </c>
      <c r="D42" s="530"/>
      <c r="E42" s="507"/>
      <c r="F42" s="503"/>
      <c r="G42" s="36" t="s">
        <v>26</v>
      </c>
      <c r="H42" s="503"/>
      <c r="I42" s="36" t="s">
        <v>26</v>
      </c>
      <c r="J42" s="503"/>
      <c r="K42" s="36" t="s">
        <v>26</v>
      </c>
      <c r="L42" s="503"/>
      <c r="M42" s="36" t="s">
        <v>26</v>
      </c>
      <c r="N42" s="503"/>
      <c r="O42" s="36" t="s">
        <v>26</v>
      </c>
      <c r="P42" s="528"/>
      <c r="W42" s="537"/>
      <c r="X42" s="125"/>
      <c r="Y42" s="537"/>
      <c r="Z42" s="125"/>
      <c r="AL42" s="78">
        <f>キロマスタ!F31</f>
        <v>0</v>
      </c>
      <c r="AM42" s="80">
        <f t="shared" si="0"/>
        <v>0</v>
      </c>
      <c r="AN42" s="80">
        <f t="shared" si="1"/>
        <v>0</v>
      </c>
    </row>
    <row r="43" spans="1:40" s="26" customFormat="1" ht="22.35" customHeight="1" x14ac:dyDescent="0.15">
      <c r="A43" s="24"/>
      <c r="B43" s="147">
        <v>18</v>
      </c>
      <c r="C43" s="32" t="str">
        <f>IF(経路検索F!B21&lt;&gt;0,経路検索F!F20,"")</f>
        <v/>
      </c>
      <c r="D43" s="529" t="str">
        <f>IF(C43="","",IFERROR(VLOOKUP(C43&amp;"-"&amp;C44,経路検索F!$G:$J,2,0),"乗換"))</f>
        <v/>
      </c>
      <c r="E43" s="506"/>
      <c r="F43" s="502"/>
      <c r="G43" s="33"/>
      <c r="H43" s="502"/>
      <c r="I43" s="33"/>
      <c r="J43" s="502"/>
      <c r="K43" s="33"/>
      <c r="L43" s="502"/>
      <c r="M43" s="33"/>
      <c r="N43" s="502"/>
      <c r="O43" s="33"/>
      <c r="P43" s="527"/>
      <c r="W43" s="537"/>
      <c r="X43" s="125"/>
      <c r="Y43" s="537"/>
      <c r="Z43" s="125"/>
      <c r="AL43" s="78">
        <f>キロマスタ!F32</f>
        <v>0</v>
      </c>
      <c r="AM43" s="81">
        <f t="shared" si="0"/>
        <v>0</v>
      </c>
      <c r="AN43" s="81">
        <f t="shared" si="1"/>
        <v>0</v>
      </c>
    </row>
    <row r="44" spans="1:40" s="26" customFormat="1" ht="22.35" customHeight="1" x14ac:dyDescent="0.15">
      <c r="A44" s="24"/>
      <c r="B44" s="34" t="str">
        <f>IF(VLOOKUP(B43,経路検索!$A$3:$B$40,2,0)=0,"","("&amp;RIGHT(VLOOKUP(B43,経路検索!$A$3:$B$40,2,0),3)&amp;")")</f>
        <v/>
      </c>
      <c r="C44" s="35" t="str">
        <f>IF(経路検索F!B21&lt;&gt;0,経路検索F!F21,"")</f>
        <v/>
      </c>
      <c r="D44" s="530"/>
      <c r="E44" s="507"/>
      <c r="F44" s="503"/>
      <c r="G44" s="36" t="s">
        <v>26</v>
      </c>
      <c r="H44" s="503"/>
      <c r="I44" s="36" t="s">
        <v>26</v>
      </c>
      <c r="J44" s="503"/>
      <c r="K44" s="36" t="s">
        <v>26</v>
      </c>
      <c r="L44" s="503"/>
      <c r="M44" s="36" t="s">
        <v>26</v>
      </c>
      <c r="N44" s="503"/>
      <c r="O44" s="36" t="s">
        <v>26</v>
      </c>
      <c r="P44" s="528"/>
      <c r="W44" s="537"/>
      <c r="X44" s="125"/>
      <c r="Y44" s="537"/>
      <c r="Z44" s="125"/>
      <c r="AL44" s="78">
        <f>キロマスタ!F33</f>
        <v>0</v>
      </c>
      <c r="AM44" s="81">
        <f t="shared" si="0"/>
        <v>0</v>
      </c>
      <c r="AN44" s="81">
        <f t="shared" si="1"/>
        <v>0</v>
      </c>
    </row>
    <row r="45" spans="1:40" s="26" customFormat="1" ht="22.15" customHeight="1" x14ac:dyDescent="0.15">
      <c r="AL45" s="78">
        <f>キロマスタ!F34</f>
        <v>0</v>
      </c>
      <c r="AM45" s="81">
        <f t="shared" si="0"/>
        <v>0</v>
      </c>
      <c r="AN45" s="81">
        <f t="shared" si="1"/>
        <v>0</v>
      </c>
    </row>
    <row r="46" spans="1:40" s="26" customFormat="1" ht="22.15" customHeight="1" x14ac:dyDescent="0.15">
      <c r="C46" s="37"/>
      <c r="D46" s="37"/>
      <c r="E46" s="37"/>
      <c r="F46" s="38">
        <f>SUM(F25,F23,F21,F19,F17,F15,F13,F11,F9,F27,F29,F31,F33,F35,F37,F39,F41,F43)</f>
        <v>0</v>
      </c>
      <c r="G46" s="39" t="s">
        <v>26</v>
      </c>
      <c r="H46" s="38">
        <f>SUM(H25,H23,H21,H19,H17,H15,H13,H11,H9,H27,H29,H31,H33,H35,H37,H39,H41,H43)</f>
        <v>0</v>
      </c>
      <c r="I46" s="39" t="s">
        <v>26</v>
      </c>
      <c r="J46" s="38">
        <f>SUM(J25,J23,J21,J19,J17,J15,J13,J11,J9,J27,J29,J31,J33,J35,J37,J39,J41,J43)</f>
        <v>0</v>
      </c>
      <c r="K46" s="39" t="s">
        <v>26</v>
      </c>
      <c r="L46" s="38">
        <f>SUM(L25,L23,L21,L19,L17,L15,L13,L11,L9,L27,L29,L31,L33,L35,L37,L39,L41,L43)</f>
        <v>0</v>
      </c>
      <c r="M46" s="39" t="s">
        <v>26</v>
      </c>
      <c r="N46" s="38">
        <f>SUM(N25,N23,N21,N19,N17,N15,N13,N11,N9,N27,N29,N31,N33,N35,N37,N39,N41,N43)</f>
        <v>0</v>
      </c>
      <c r="O46" s="39" t="s">
        <v>26</v>
      </c>
      <c r="P46" s="119"/>
      <c r="W46" s="126"/>
      <c r="X46" s="41"/>
      <c r="Y46" s="126"/>
      <c r="Z46" s="41"/>
      <c r="AL46" s="78">
        <f>キロマスタ!F35</f>
        <v>0</v>
      </c>
      <c r="AM46" s="81">
        <f t="shared" si="0"/>
        <v>0</v>
      </c>
      <c r="AN46" s="81">
        <f t="shared" si="1"/>
        <v>0</v>
      </c>
    </row>
    <row r="47" spans="1:40" s="26" customFormat="1" ht="22.15" customHeight="1" x14ac:dyDescent="0.15">
      <c r="P47" s="40"/>
      <c r="AL47" s="78">
        <f>キロマスタ!F36</f>
        <v>0</v>
      </c>
      <c r="AM47" s="81">
        <f t="shared" si="0"/>
        <v>0</v>
      </c>
      <c r="AN47" s="81">
        <f t="shared" si="1"/>
        <v>0</v>
      </c>
    </row>
    <row r="48" spans="1:40" s="26" customFormat="1" ht="22.5" customHeight="1" x14ac:dyDescent="0.15">
      <c r="AL48" s="90" t="s">
        <v>284</v>
      </c>
      <c r="AM48" s="26">
        <f>SUM(AM14:AM47)</f>
        <v>0</v>
      </c>
      <c r="AN48" s="26">
        <f>SUM(AN14:AN47)</f>
        <v>0</v>
      </c>
    </row>
    <row r="49" spans="2:39" ht="18" customHeight="1" x14ac:dyDescent="0.15">
      <c r="B49" s="26"/>
      <c r="C49" s="26"/>
      <c r="D49" s="26"/>
      <c r="E49" s="26"/>
      <c r="F49" s="26"/>
      <c r="G49" s="26"/>
      <c r="H49" s="26"/>
      <c r="I49" s="26"/>
      <c r="J49" s="26"/>
      <c r="K49" s="26"/>
      <c r="L49" s="26"/>
      <c r="M49" s="26"/>
      <c r="N49" s="26"/>
      <c r="O49" s="26"/>
      <c r="P49" s="26"/>
    </row>
    <row r="50" spans="2:39" ht="18" customHeight="1" x14ac:dyDescent="0.15">
      <c r="B50" s="26"/>
      <c r="C50" s="26"/>
      <c r="D50" s="26"/>
      <c r="E50" s="26"/>
      <c r="F50" s="26"/>
      <c r="G50" s="26"/>
      <c r="H50" s="26"/>
      <c r="I50" s="26"/>
      <c r="J50" s="26"/>
      <c r="K50" s="26"/>
      <c r="L50" s="26"/>
      <c r="M50" s="26"/>
      <c r="N50" s="26"/>
      <c r="O50" s="26"/>
      <c r="P50" s="26"/>
    </row>
    <row r="51" spans="2:39" ht="18" customHeight="1" x14ac:dyDescent="0.15">
      <c r="B51" s="26"/>
      <c r="C51" s="26"/>
      <c r="D51" s="26"/>
      <c r="E51" s="26"/>
      <c r="F51" s="26"/>
      <c r="G51" s="26"/>
      <c r="H51" s="26"/>
      <c r="I51" s="26"/>
      <c r="J51" s="26"/>
      <c r="K51" s="26"/>
      <c r="L51" s="26"/>
      <c r="M51" s="26"/>
      <c r="N51" s="26"/>
      <c r="O51" s="26"/>
    </row>
    <row r="52" spans="2:39" ht="18" customHeight="1" x14ac:dyDescent="0.15">
      <c r="C52" s="26"/>
      <c r="D52" s="26"/>
      <c r="E52" s="26"/>
      <c r="F52" s="26"/>
      <c r="G52" s="26"/>
      <c r="H52" s="26"/>
      <c r="I52" s="26"/>
      <c r="J52" s="26"/>
      <c r="K52" s="26"/>
      <c r="L52" s="26"/>
      <c r="M52" s="26"/>
      <c r="N52" s="26"/>
      <c r="O52" s="26"/>
    </row>
    <row r="53" spans="2:39" x14ac:dyDescent="0.15">
      <c r="B53" s="26"/>
      <c r="C53" s="26"/>
      <c r="D53" s="26"/>
      <c r="E53" s="26"/>
      <c r="F53" s="26"/>
      <c r="G53" s="26"/>
      <c r="H53" s="26"/>
      <c r="I53" s="26"/>
      <c r="J53" s="26"/>
      <c r="K53" s="26"/>
      <c r="L53" s="26"/>
      <c r="M53" s="26"/>
      <c r="N53" s="26"/>
      <c r="O53" s="26"/>
    </row>
    <row r="54" spans="2:39" x14ac:dyDescent="0.15">
      <c r="AM54" s="23" t="s">
        <v>132</v>
      </c>
    </row>
    <row r="55" spans="2:39" x14ac:dyDescent="0.15">
      <c r="AM55" s="23" t="s">
        <v>133</v>
      </c>
    </row>
    <row r="56" spans="2:39" x14ac:dyDescent="0.15">
      <c r="AM56" s="23" t="s">
        <v>134</v>
      </c>
    </row>
    <row r="57" spans="2:39" x14ac:dyDescent="0.15">
      <c r="AM57" s="23" t="s">
        <v>135</v>
      </c>
    </row>
    <row r="58" spans="2:39" x14ac:dyDescent="0.15">
      <c r="AM58" s="23" t="s">
        <v>136</v>
      </c>
    </row>
    <row r="59" spans="2:39" x14ac:dyDescent="0.15">
      <c r="AM59" s="23" t="s">
        <v>137</v>
      </c>
    </row>
    <row r="60" spans="2:39" x14ac:dyDescent="0.15">
      <c r="AM60" s="23" t="s">
        <v>138</v>
      </c>
    </row>
    <row r="61" spans="2:39" x14ac:dyDescent="0.15">
      <c r="AM61" s="23" t="s">
        <v>139</v>
      </c>
    </row>
    <row r="62" spans="2:39" x14ac:dyDescent="0.15">
      <c r="AM62" s="23" t="s">
        <v>140</v>
      </c>
    </row>
    <row r="63" spans="2:39" x14ac:dyDescent="0.15">
      <c r="AM63" s="23" t="s">
        <v>209</v>
      </c>
    </row>
    <row r="64" spans="2:39" x14ac:dyDescent="0.15">
      <c r="AM64" s="23" t="s">
        <v>183</v>
      </c>
    </row>
    <row r="65" spans="39:39" x14ac:dyDescent="0.15">
      <c r="AM65" s="23" t="s">
        <v>184</v>
      </c>
    </row>
    <row r="66" spans="39:39" x14ac:dyDescent="0.15">
      <c r="AM66" s="23" t="s">
        <v>185</v>
      </c>
    </row>
    <row r="67" spans="39:39" x14ac:dyDescent="0.15">
      <c r="AM67" s="23" t="s">
        <v>210</v>
      </c>
    </row>
    <row r="68" spans="39:39" x14ac:dyDescent="0.15">
      <c r="AM68" s="23" t="s">
        <v>141</v>
      </c>
    </row>
    <row r="69" spans="39:39" x14ac:dyDescent="0.15">
      <c r="AM69" s="23" t="s">
        <v>142</v>
      </c>
    </row>
    <row r="70" spans="39:39" x14ac:dyDescent="0.15">
      <c r="AM70" s="23" t="s">
        <v>143</v>
      </c>
    </row>
    <row r="71" spans="39:39" x14ac:dyDescent="0.15">
      <c r="AM71" s="23" t="s">
        <v>144</v>
      </c>
    </row>
    <row r="72" spans="39:39" x14ac:dyDescent="0.15">
      <c r="AM72" s="23" t="s">
        <v>187</v>
      </c>
    </row>
    <row r="73" spans="39:39" x14ac:dyDescent="0.15">
      <c r="AM73" s="23" t="s">
        <v>196</v>
      </c>
    </row>
    <row r="74" spans="39:39" x14ac:dyDescent="0.15">
      <c r="AM74" s="23" t="s">
        <v>197</v>
      </c>
    </row>
    <row r="75" spans="39:39" x14ac:dyDescent="0.15">
      <c r="AM75" s="23" t="s">
        <v>198</v>
      </c>
    </row>
    <row r="76" spans="39:39" x14ac:dyDescent="0.15">
      <c r="AM76" s="23" t="s">
        <v>199</v>
      </c>
    </row>
    <row r="77" spans="39:39" x14ac:dyDescent="0.15">
      <c r="AM77" s="23" t="s">
        <v>200</v>
      </c>
    </row>
  </sheetData>
  <sheetProtection algorithmName="SHA-512" hashValue="JtweQFXf1VHgZeRoMePF7wcN9TDCEYQQAPfX77GszDfEh7uctXDHCwuyZYPpFpq2uZFRkgNQ16BdyW8Nx3KVCA==" saltValue="DwtAaLvwrApuktG4o6qTRw==" spinCount="100000" sheet="1" objects="1" scenarios="1"/>
  <protectedRanges>
    <protectedRange sqref="E9 E11 E13 E15 E17 E19 E21 E23 E25 E27 E29 E31 E33 E35 E37 E39 E41 E43" name="手入力_4"/>
  </protectedRanges>
  <dataConsolidate/>
  <mergeCells count="196">
    <mergeCell ref="P7:P8"/>
    <mergeCell ref="N4:P4"/>
    <mergeCell ref="E19:E20"/>
    <mergeCell ref="E23:E24"/>
    <mergeCell ref="E21:E22"/>
    <mergeCell ref="E25:E26"/>
    <mergeCell ref="E27:E28"/>
    <mergeCell ref="E31:E32"/>
    <mergeCell ref="E29:E30"/>
    <mergeCell ref="E11:E12"/>
    <mergeCell ref="E15:E16"/>
    <mergeCell ref="E13:E14"/>
    <mergeCell ref="E17:E18"/>
    <mergeCell ref="F19:F20"/>
    <mergeCell ref="F21:F22"/>
    <mergeCell ref="J19:J20"/>
    <mergeCell ref="J21:J22"/>
    <mergeCell ref="J23:J24"/>
    <mergeCell ref="J25:J26"/>
    <mergeCell ref="J27:J28"/>
    <mergeCell ref="H19:H20"/>
    <mergeCell ref="H21:H22"/>
    <mergeCell ref="H23:H24"/>
    <mergeCell ref="H25:H26"/>
    <mergeCell ref="Y23:Y24"/>
    <mergeCell ref="Y25:Y26"/>
    <mergeCell ref="Y27:Y28"/>
    <mergeCell ref="Y29:Y30"/>
    <mergeCell ref="Y31:Y32"/>
    <mergeCell ref="Y33:Y34"/>
    <mergeCell ref="Y35:Y36"/>
    <mergeCell ref="E41:E42"/>
    <mergeCell ref="E43:E44"/>
    <mergeCell ref="E33:E34"/>
    <mergeCell ref="E35:E36"/>
    <mergeCell ref="E39:E40"/>
    <mergeCell ref="E37:E38"/>
    <mergeCell ref="Y37:Y38"/>
    <mergeCell ref="Y39:Y40"/>
    <mergeCell ref="Y41:Y42"/>
    <mergeCell ref="Y43:Y44"/>
    <mergeCell ref="W37:W38"/>
    <mergeCell ref="W39:W40"/>
    <mergeCell ref="W41:W42"/>
    <mergeCell ref="W43:W44"/>
    <mergeCell ref="F23:F24"/>
    <mergeCell ref="F25:F26"/>
    <mergeCell ref="F27:F28"/>
    <mergeCell ref="W7:Z7"/>
    <mergeCell ref="W8:X8"/>
    <mergeCell ref="Y8:Z8"/>
    <mergeCell ref="W25:W26"/>
    <mergeCell ref="W27:W28"/>
    <mergeCell ref="W29:W30"/>
    <mergeCell ref="W31:W32"/>
    <mergeCell ref="W33:W34"/>
    <mergeCell ref="W35:W36"/>
    <mergeCell ref="Y9:Y10"/>
    <mergeCell ref="Y11:Y12"/>
    <mergeCell ref="Y13:Y14"/>
    <mergeCell ref="Y15:Y16"/>
    <mergeCell ref="Y17:Y18"/>
    <mergeCell ref="Y19:Y20"/>
    <mergeCell ref="Y21:Y22"/>
    <mergeCell ref="W9:W10"/>
    <mergeCell ref="W11:W12"/>
    <mergeCell ref="W13:W14"/>
    <mergeCell ref="W15:W16"/>
    <mergeCell ref="W17:W18"/>
    <mergeCell ref="W19:W20"/>
    <mergeCell ref="W21:W22"/>
    <mergeCell ref="W23:W24"/>
    <mergeCell ref="B3:E3"/>
    <mergeCell ref="D7:D8"/>
    <mergeCell ref="E7:E8"/>
    <mergeCell ref="F8:G8"/>
    <mergeCell ref="H8:I8"/>
    <mergeCell ref="J8:K8"/>
    <mergeCell ref="L8:M8"/>
    <mergeCell ref="N8:O8"/>
    <mergeCell ref="E9:E10"/>
    <mergeCell ref="F7:O7"/>
    <mergeCell ref="F9:F10"/>
    <mergeCell ref="Y3:AA3"/>
    <mergeCell ref="F11:F12"/>
    <mergeCell ref="F13:F14"/>
    <mergeCell ref="F15:F16"/>
    <mergeCell ref="F17:F18"/>
    <mergeCell ref="J9:J10"/>
    <mergeCell ref="J11:J12"/>
    <mergeCell ref="J13:J14"/>
    <mergeCell ref="J15:J16"/>
    <mergeCell ref="J17:J18"/>
    <mergeCell ref="N9:N10"/>
    <mergeCell ref="N11:N12"/>
    <mergeCell ref="N13:N14"/>
    <mergeCell ref="N15:N16"/>
    <mergeCell ref="N17:N18"/>
    <mergeCell ref="AA7:AA8"/>
    <mergeCell ref="H9:H10"/>
    <mergeCell ref="H11:H12"/>
    <mergeCell ref="H13:H14"/>
    <mergeCell ref="H15:H16"/>
    <mergeCell ref="H17:H18"/>
    <mergeCell ref="L9:L10"/>
    <mergeCell ref="L11:L12"/>
    <mergeCell ref="L13:L14"/>
    <mergeCell ref="F39:F40"/>
    <mergeCell ref="F41:F42"/>
    <mergeCell ref="F43:F44"/>
    <mergeCell ref="H43:H44"/>
    <mergeCell ref="H41:H42"/>
    <mergeCell ref="H39:H40"/>
    <mergeCell ref="F29:F30"/>
    <mergeCell ref="F31:F32"/>
    <mergeCell ref="F33:F34"/>
    <mergeCell ref="F35:F36"/>
    <mergeCell ref="F37:F38"/>
    <mergeCell ref="H37:H38"/>
    <mergeCell ref="H27:H28"/>
    <mergeCell ref="H29:H30"/>
    <mergeCell ref="H31:H32"/>
    <mergeCell ref="H33:H34"/>
    <mergeCell ref="H35:H36"/>
    <mergeCell ref="L39:L40"/>
    <mergeCell ref="L41:L42"/>
    <mergeCell ref="L43:L44"/>
    <mergeCell ref="J39:J40"/>
    <mergeCell ref="J41:J42"/>
    <mergeCell ref="J43:J44"/>
    <mergeCell ref="L33:L34"/>
    <mergeCell ref="J29:J30"/>
    <mergeCell ref="J31:J32"/>
    <mergeCell ref="J33:J34"/>
    <mergeCell ref="J35:J36"/>
    <mergeCell ref="J37:J38"/>
    <mergeCell ref="L15:L16"/>
    <mergeCell ref="L17:L18"/>
    <mergeCell ref="L19:L20"/>
    <mergeCell ref="L21:L22"/>
    <mergeCell ref="L23:L24"/>
    <mergeCell ref="L25:L26"/>
    <mergeCell ref="L27:L28"/>
    <mergeCell ref="L29:L30"/>
    <mergeCell ref="L31:L32"/>
    <mergeCell ref="N35:N36"/>
    <mergeCell ref="N37:N38"/>
    <mergeCell ref="N19:N20"/>
    <mergeCell ref="N21:N22"/>
    <mergeCell ref="N23:N24"/>
    <mergeCell ref="N25:N26"/>
    <mergeCell ref="N27:N28"/>
    <mergeCell ref="L35:L36"/>
    <mergeCell ref="L37:L38"/>
    <mergeCell ref="D35:D36"/>
    <mergeCell ref="D37:D38"/>
    <mergeCell ref="D39:D40"/>
    <mergeCell ref="D41:D42"/>
    <mergeCell ref="D43:D44"/>
    <mergeCell ref="N39:N40"/>
    <mergeCell ref="N41:N42"/>
    <mergeCell ref="N43:N44"/>
    <mergeCell ref="D9:D10"/>
    <mergeCell ref="D11:D12"/>
    <mergeCell ref="D13:D14"/>
    <mergeCell ref="D15:D16"/>
    <mergeCell ref="D17:D18"/>
    <mergeCell ref="D19:D20"/>
    <mergeCell ref="D21:D22"/>
    <mergeCell ref="D23:D24"/>
    <mergeCell ref="D25:D26"/>
    <mergeCell ref="D27:D28"/>
    <mergeCell ref="D29:D30"/>
    <mergeCell ref="D31:D32"/>
    <mergeCell ref="D33:D34"/>
    <mergeCell ref="N29:N30"/>
    <mergeCell ref="N31:N32"/>
    <mergeCell ref="N33:N34"/>
    <mergeCell ref="P9:P10"/>
    <mergeCell ref="P11:P12"/>
    <mergeCell ref="P13:P14"/>
    <mergeCell ref="P15:P16"/>
    <mergeCell ref="P17:P18"/>
    <mergeCell ref="P19:P20"/>
    <mergeCell ref="P21:P22"/>
    <mergeCell ref="P23:P24"/>
    <mergeCell ref="P25:P26"/>
    <mergeCell ref="P27:P28"/>
    <mergeCell ref="P29:P30"/>
    <mergeCell ref="P31:P32"/>
    <mergeCell ref="P33:P34"/>
    <mergeCell ref="P35:P36"/>
    <mergeCell ref="P37:P38"/>
    <mergeCell ref="P39:P40"/>
    <mergeCell ref="P41:P42"/>
    <mergeCell ref="P43:P44"/>
  </mergeCells>
  <phoneticPr fontId="8"/>
  <conditionalFormatting sqref="D9:D44">
    <cfRule type="expression" dxfId="22" priority="4">
      <formula>$D9=""</formula>
    </cfRule>
  </conditionalFormatting>
  <conditionalFormatting sqref="C9:C10">
    <cfRule type="expression" dxfId="21" priority="3">
      <formula>$C9=""</formula>
    </cfRule>
  </conditionalFormatting>
  <conditionalFormatting sqref="C11 C13 C15 C17 C19 C21 C23 C25 C27 C29 C31 C33 C35 C37 C39 C41 C43">
    <cfRule type="expression" dxfId="20" priority="2">
      <formula>$C11=""</formula>
    </cfRule>
  </conditionalFormatting>
  <conditionalFormatting sqref="C12 C14 C16 C18 C20 C22 C24 C26 C28 C30 C32 C34 C36 C38 C40 C42 C44">
    <cfRule type="expression" dxfId="19" priority="1">
      <formula>$C12=""</formula>
    </cfRule>
  </conditionalFormatting>
  <dataValidations count="1">
    <dataValidation type="whole" allowBlank="1" showInputMessage="1" showErrorMessage="1" error="金額を数字で入力してください" sqref="F43 W9:W44 Y9:Y44 H35 L43 J43 N43 F13 F15 F17 F19 F21 F23 F25 F27 F29 F31 F33 F35 F37 F39 F41 H43 H41 H39 H37 H9 H11 H13 H15 H17 H19 H21 H23 H25 H27 H29 H31 H33 J9 J11 J13 J15 J17 J19 J21 J23 J25 J27 J29 J31 J33 J35 J37 J39 J41 L9 L11 L13 L15 L17 L19 L21 L23 L25 L27 L29 L31 L33 L35 L37 L39 L41 N9 N11 N13 N15 N17 N19 N21 N23 N25 N27 N29 N31 N33 N35 N37 N39 N41 F11 F9" xr:uid="{00000000-0002-0000-0300-000000000000}">
      <formula1>0</formula1>
      <formula2>99999999</formula2>
    </dataValidation>
  </dataValidations>
  <printOptions horizontalCentered="1"/>
  <pageMargins left="0.70866141732283472" right="0.70866141732283472" top="0.74803149606299213" bottom="0.74803149606299213" header="0.31496062992125984" footer="0.31496062992125984"/>
  <pageSetup paperSize="9" scale="36"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prompt="プルダウンバーから選択してください" xr:uid="{00000000-0002-0000-0300-000002000000}">
          <x14:formula1>
            <xm:f>キロマスタ!$F$2:$F$8</xm:f>
          </x14:formula1>
          <xm:sqref>E9 E11 E13 E15 E17 E19 E21 E23 E25 E27 E29 E31 E33 E35 E37 E39 E41 E43</xm:sqref>
        </x14:dataValidation>
        <x14:dataValidation type="list" allowBlank="1" showInputMessage="1" showErrorMessage="1" prompt="プルダウンバーから選択してください。" xr:uid="{00000000-0002-0000-0300-000003000000}">
          <x14:formula1>
            <xm:f>リスト!$B$2:$B$7</xm:f>
          </x14:formula1>
          <xm:sqref>Y3 N4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E4FA-6DFD-4C8D-B111-C2D9FBA17170}">
  <sheetPr codeName="Sheet3">
    <tabColor rgb="FFFF0000"/>
    <pageSetUpPr fitToPage="1"/>
  </sheetPr>
  <dimension ref="A1:BY48"/>
  <sheetViews>
    <sheetView showGridLines="0" zoomScale="90" zoomScaleNormal="90" zoomScaleSheetLayoutView="85" workbookViewId="0"/>
  </sheetViews>
  <sheetFormatPr defaultColWidth="8.75" defaultRowHeight="13.5" x14ac:dyDescent="0.15"/>
  <cols>
    <col min="1" max="2" width="3.5" style="159" customWidth="1"/>
    <col min="3" max="3" width="6.75" style="159" customWidth="1"/>
    <col min="4" max="11" width="3.375" style="159" customWidth="1"/>
    <col min="12" max="16" width="2.75" style="159" customWidth="1"/>
    <col min="17" max="20" width="3.25" style="159" customWidth="1"/>
    <col min="21" max="21" width="2.75" style="159" customWidth="1"/>
    <col min="22" max="31" width="3" style="159" customWidth="1"/>
    <col min="32" max="35" width="2.75" style="159" customWidth="1"/>
    <col min="36" max="36" width="3.25" style="159" customWidth="1"/>
    <col min="37" max="37" width="4.875" style="159" customWidth="1"/>
    <col min="38" max="38" width="3.875" style="159" customWidth="1"/>
    <col min="39" max="39" width="4.375" style="159" customWidth="1"/>
    <col min="40" max="40" width="1.125" style="159" customWidth="1"/>
    <col min="41" max="43" width="4.5" style="159" customWidth="1"/>
    <col min="44" max="44" width="3.125" style="159" customWidth="1"/>
    <col min="45" max="48" width="2.125" style="159" customWidth="1"/>
    <col min="49" max="50" width="3.125" style="159" customWidth="1"/>
    <col min="51" max="55" width="4.375" style="159" customWidth="1"/>
    <col min="56" max="59" width="4.625" style="159" customWidth="1"/>
    <col min="60" max="61" width="3.125" style="159" customWidth="1"/>
    <col min="62" max="62" width="3.75" style="159" customWidth="1"/>
    <col min="63" max="64" width="8.75" style="159" hidden="1" customWidth="1"/>
    <col min="65" max="65" width="21.375" style="159" hidden="1" customWidth="1"/>
    <col min="66" max="66" width="9" style="159" hidden="1" customWidth="1"/>
    <col min="67" max="67" width="2" style="159" hidden="1" customWidth="1"/>
    <col min="68" max="70" width="8.75" style="159" hidden="1" customWidth="1"/>
    <col min="71" max="71" width="2.875" style="159" hidden="1" customWidth="1"/>
    <col min="72" max="72" width="8.75" style="159" hidden="1" customWidth="1"/>
    <col min="73" max="77" width="0" style="159" hidden="1" customWidth="1"/>
    <col min="78" max="16384" width="8.75" style="304"/>
  </cols>
  <sheetData>
    <row r="1" spans="1:77" x14ac:dyDescent="0.15">
      <c r="A1" s="156"/>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8"/>
    </row>
    <row r="2" spans="1:77" ht="14.45" customHeight="1" x14ac:dyDescent="0.15">
      <c r="A2" s="160"/>
      <c r="BI2" s="161"/>
    </row>
    <row r="3" spans="1:77" ht="17.45" customHeight="1" x14ac:dyDescent="0.15">
      <c r="A3" s="160"/>
      <c r="H3" s="162" t="s">
        <v>371</v>
      </c>
      <c r="I3" s="162"/>
      <c r="J3" s="162"/>
      <c r="K3" s="162"/>
      <c r="L3" s="162"/>
      <c r="M3" s="162"/>
      <c r="N3" s="162"/>
      <c r="O3" s="162"/>
      <c r="P3" s="162"/>
      <c r="Q3" s="162"/>
      <c r="R3" s="162"/>
      <c r="S3" s="162"/>
      <c r="T3" s="162"/>
      <c r="U3" s="162"/>
      <c r="V3" s="162"/>
      <c r="W3" s="162"/>
      <c r="X3" s="162"/>
      <c r="Y3" s="162"/>
      <c r="Z3" s="162"/>
      <c r="AA3" s="162"/>
      <c r="AB3" s="162"/>
      <c r="AC3" s="162"/>
      <c r="AD3" s="162"/>
      <c r="AE3" s="162" t="s">
        <v>372</v>
      </c>
      <c r="AF3" s="162"/>
      <c r="AG3" s="162"/>
      <c r="AH3" s="545" t="str">
        <f>IF('基本情報（情報連携シート）'!L40="","",MID(TEXT('基本情報（情報連携シート）'!L40,"gggge"),3,2))</f>
        <v/>
      </c>
      <c r="AI3" s="545"/>
      <c r="AJ3" s="162" t="s">
        <v>373</v>
      </c>
      <c r="AK3" s="544" t="str">
        <f>IF('基本情報（情報連携シート）'!L40="","",MONTH('基本情報（情報連携シート）'!L40))</f>
        <v/>
      </c>
      <c r="AL3" s="544"/>
      <c r="AM3" s="162" t="s">
        <v>374</v>
      </c>
      <c r="AN3" s="162"/>
      <c r="AO3" s="162"/>
      <c r="AP3" s="162"/>
      <c r="AQ3" s="162"/>
      <c r="AR3" s="162"/>
      <c r="AS3" s="162"/>
      <c r="AT3" s="162"/>
      <c r="AU3" s="162"/>
      <c r="AV3" s="162"/>
      <c r="AW3" s="162"/>
      <c r="AY3" s="542" t="s">
        <v>375</v>
      </c>
      <c r="AZ3" s="542"/>
      <c r="BA3" s="542"/>
      <c r="BB3" s="542"/>
      <c r="BC3" s="542"/>
      <c r="BD3" s="542"/>
      <c r="BE3" s="542"/>
      <c r="BF3" s="542"/>
      <c r="BG3" s="542"/>
      <c r="BH3" s="542"/>
      <c r="BI3" s="161"/>
    </row>
    <row r="4" spans="1:77" ht="17.45" customHeight="1" x14ac:dyDescent="0.15">
      <c r="A4" s="160"/>
      <c r="H4" s="162"/>
      <c r="I4" s="162"/>
      <c r="J4" s="162"/>
      <c r="K4" s="162"/>
      <c r="L4" s="162"/>
      <c r="M4" s="162"/>
      <c r="N4" s="162"/>
      <c r="O4" s="162"/>
      <c r="P4" s="162"/>
      <c r="Q4" s="162"/>
      <c r="R4" s="162"/>
      <c r="S4" s="162"/>
      <c r="T4" s="162"/>
      <c r="U4" s="162"/>
      <c r="V4" s="162"/>
      <c r="W4" s="162"/>
      <c r="X4" s="162"/>
      <c r="Y4" s="162"/>
      <c r="Z4" s="162"/>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Y4" s="542"/>
      <c r="AZ4" s="542"/>
      <c r="BA4" s="542"/>
      <c r="BB4" s="542"/>
      <c r="BC4" s="542"/>
      <c r="BD4" s="542"/>
      <c r="BE4" s="542"/>
      <c r="BF4" s="542"/>
      <c r="BG4" s="542"/>
      <c r="BH4" s="542"/>
      <c r="BI4" s="161"/>
    </row>
    <row r="5" spans="1:77" ht="14.45" customHeight="1" x14ac:dyDescent="0.15">
      <c r="A5" s="160"/>
      <c r="H5" s="543" t="s">
        <v>376</v>
      </c>
      <c r="I5" s="543"/>
      <c r="J5" s="543"/>
      <c r="K5" s="543"/>
      <c r="L5" s="543"/>
      <c r="M5" s="543"/>
      <c r="N5" s="543"/>
      <c r="O5" s="543"/>
      <c r="P5" s="543"/>
      <c r="Q5" s="543"/>
      <c r="R5" s="543"/>
      <c r="S5" s="543"/>
      <c r="T5" s="543"/>
      <c r="U5" s="543"/>
      <c r="V5" s="543"/>
      <c r="W5" s="543"/>
      <c r="X5" s="543"/>
      <c r="Y5" s="543"/>
      <c r="Z5" s="543"/>
      <c r="AA5" s="543"/>
      <c r="AB5" s="543"/>
      <c r="AC5" s="543"/>
      <c r="AD5" s="543"/>
      <c r="AE5" s="543"/>
      <c r="AF5" s="543"/>
      <c r="AG5" s="543"/>
      <c r="AH5" s="543"/>
      <c r="AI5" s="543"/>
      <c r="AJ5" s="543"/>
      <c r="AK5" s="543"/>
      <c r="AL5" s="543"/>
      <c r="AM5" s="543"/>
      <c r="AN5" s="164"/>
      <c r="AO5" s="164"/>
      <c r="AR5" s="164"/>
      <c r="AV5" s="159" t="s">
        <v>377</v>
      </c>
      <c r="AW5" s="165"/>
      <c r="AY5" s="542"/>
      <c r="AZ5" s="542"/>
      <c r="BA5" s="542"/>
      <c r="BB5" s="542"/>
      <c r="BC5" s="542"/>
      <c r="BD5" s="542"/>
      <c r="BE5" s="542"/>
      <c r="BF5" s="542"/>
      <c r="BG5" s="542"/>
      <c r="BH5" s="542"/>
      <c r="BI5" s="161"/>
    </row>
    <row r="6" spans="1:77" ht="9" customHeight="1" x14ac:dyDescent="0.15">
      <c r="A6" s="160"/>
      <c r="BI6" s="161"/>
    </row>
    <row r="7" spans="1:77" ht="14.45" customHeight="1" x14ac:dyDescent="0.15">
      <c r="A7" s="542" t="s">
        <v>378</v>
      </c>
      <c r="B7" s="542"/>
      <c r="C7" s="542"/>
      <c r="D7" s="542"/>
      <c r="E7" s="542"/>
      <c r="F7" s="542"/>
      <c r="G7" s="542"/>
      <c r="H7" s="542"/>
      <c r="I7" s="542" t="s">
        <v>379</v>
      </c>
      <c r="J7" s="542"/>
      <c r="K7" s="542"/>
      <c r="L7" s="542"/>
      <c r="M7" s="542"/>
      <c r="N7" s="542"/>
      <c r="O7" s="542"/>
      <c r="P7" s="542"/>
      <c r="Q7" s="542"/>
      <c r="R7" s="542" t="s">
        <v>380</v>
      </c>
      <c r="S7" s="542"/>
      <c r="T7" s="542"/>
      <c r="U7" s="542"/>
      <c r="V7" s="542"/>
      <c r="W7" s="542"/>
      <c r="X7" s="542"/>
      <c r="Y7" s="542"/>
      <c r="Z7" s="542"/>
      <c r="AA7" s="542" t="s">
        <v>381</v>
      </c>
      <c r="AB7" s="542"/>
      <c r="AC7" s="542"/>
      <c r="AD7" s="542"/>
      <c r="AE7" s="542"/>
      <c r="AF7" s="542"/>
      <c r="AG7" s="542"/>
      <c r="AH7" s="542"/>
      <c r="AI7" s="542"/>
      <c r="AJ7" s="542" t="s">
        <v>382</v>
      </c>
      <c r="AK7" s="542"/>
      <c r="AL7" s="542"/>
      <c r="AM7" s="542"/>
      <c r="AN7" s="542"/>
      <c r="AO7" s="542" t="s">
        <v>383</v>
      </c>
      <c r="AP7" s="542"/>
      <c r="AQ7" s="542"/>
      <c r="AR7" s="542" t="s">
        <v>18</v>
      </c>
      <c r="AS7" s="542"/>
      <c r="AT7" s="542"/>
      <c r="AU7" s="542"/>
      <c r="AV7" s="542"/>
      <c r="AW7" s="542"/>
      <c r="AX7" s="542"/>
      <c r="AY7" s="542"/>
      <c r="AZ7" s="542"/>
      <c r="BA7" s="542"/>
      <c r="BB7" s="542"/>
      <c r="BC7" s="542" t="s">
        <v>384</v>
      </c>
      <c r="BD7" s="542"/>
      <c r="BE7" s="542"/>
      <c r="BF7" s="542" t="s">
        <v>385</v>
      </c>
      <c r="BG7" s="542"/>
      <c r="BH7" s="542"/>
      <c r="BI7" s="161"/>
    </row>
    <row r="8" spans="1:77" ht="23.45" customHeight="1" x14ac:dyDescent="0.15">
      <c r="A8" s="546"/>
      <c r="B8" s="547"/>
      <c r="C8" s="547"/>
      <c r="D8" s="547"/>
      <c r="E8" s="547"/>
      <c r="F8" s="547"/>
      <c r="G8" s="547"/>
      <c r="H8" s="158"/>
      <c r="I8" s="550">
        <f>BD17+BD40</f>
        <v>0</v>
      </c>
      <c r="J8" s="551"/>
      <c r="K8" s="551"/>
      <c r="L8" s="551"/>
      <c r="M8" s="551"/>
      <c r="N8" s="551"/>
      <c r="O8" s="551"/>
      <c r="P8" s="551"/>
      <c r="Q8" s="158"/>
      <c r="R8" s="546"/>
      <c r="S8" s="547"/>
      <c r="T8" s="547"/>
      <c r="U8" s="547"/>
      <c r="V8" s="547"/>
      <c r="W8" s="547"/>
      <c r="X8" s="547"/>
      <c r="Y8" s="547"/>
      <c r="Z8" s="158"/>
      <c r="AA8" s="546"/>
      <c r="AB8" s="547"/>
      <c r="AC8" s="547"/>
      <c r="AD8" s="547"/>
      <c r="AE8" s="547"/>
      <c r="AF8" s="547"/>
      <c r="AG8" s="547"/>
      <c r="AH8" s="547"/>
      <c r="AI8" s="158"/>
      <c r="AJ8" s="554" t="str">
        <f>IF('基本情報（情報連携シート）'!Q9&lt;&gt;"",'基本情報（情報連携シート）'!Q9,"")</f>
        <v/>
      </c>
      <c r="AK8" s="555"/>
      <c r="AL8" s="555"/>
      <c r="AM8" s="555"/>
      <c r="AN8" s="556"/>
      <c r="AO8" s="554" t="str">
        <f>IF('基本情報（情報連携シート）'!S9&lt;&gt;"",'基本情報（情報連携シート）'!S9,"")</f>
        <v/>
      </c>
      <c r="AP8" s="555"/>
      <c r="AQ8" s="556"/>
      <c r="AR8" s="554" t="str">
        <f>IF('基本情報（情報連携シート）'!G9&lt;&gt;"",'基本情報（情報連携シート）'!G9,"")</f>
        <v>庶務 太郎</v>
      </c>
      <c r="AS8" s="555"/>
      <c r="AT8" s="555"/>
      <c r="AU8" s="555"/>
      <c r="AV8" s="555"/>
      <c r="AW8" s="555"/>
      <c r="AX8" s="555"/>
      <c r="AY8" s="555"/>
      <c r="AZ8" s="555"/>
      <c r="BA8" s="555"/>
      <c r="BB8" s="556"/>
      <c r="BC8" s="546"/>
      <c r="BD8" s="547"/>
      <c r="BE8" s="560"/>
      <c r="BF8" s="563"/>
      <c r="BG8" s="563"/>
      <c r="BH8" s="564"/>
      <c r="BI8" s="161"/>
    </row>
    <row r="9" spans="1:77" ht="23.45" customHeight="1" x14ac:dyDescent="0.15">
      <c r="A9" s="548"/>
      <c r="B9" s="549"/>
      <c r="C9" s="549"/>
      <c r="D9" s="549"/>
      <c r="E9" s="549"/>
      <c r="F9" s="549"/>
      <c r="G9" s="549"/>
      <c r="H9" s="166" t="s">
        <v>369</v>
      </c>
      <c r="I9" s="552"/>
      <c r="J9" s="553"/>
      <c r="K9" s="553"/>
      <c r="L9" s="553"/>
      <c r="M9" s="553"/>
      <c r="N9" s="553"/>
      <c r="O9" s="553"/>
      <c r="P9" s="553"/>
      <c r="Q9" s="166" t="s">
        <v>369</v>
      </c>
      <c r="R9" s="548"/>
      <c r="S9" s="549"/>
      <c r="T9" s="549"/>
      <c r="U9" s="549"/>
      <c r="V9" s="549"/>
      <c r="W9" s="549"/>
      <c r="X9" s="549"/>
      <c r="Y9" s="549"/>
      <c r="Z9" s="166" t="s">
        <v>369</v>
      </c>
      <c r="AA9" s="548"/>
      <c r="AB9" s="549"/>
      <c r="AC9" s="549"/>
      <c r="AD9" s="549"/>
      <c r="AE9" s="549"/>
      <c r="AF9" s="549"/>
      <c r="AG9" s="549"/>
      <c r="AH9" s="549"/>
      <c r="AI9" s="166" t="s">
        <v>369</v>
      </c>
      <c r="AJ9" s="557"/>
      <c r="AK9" s="558"/>
      <c r="AL9" s="558"/>
      <c r="AM9" s="558"/>
      <c r="AN9" s="559"/>
      <c r="AO9" s="557"/>
      <c r="AP9" s="558"/>
      <c r="AQ9" s="559"/>
      <c r="AR9" s="557"/>
      <c r="AS9" s="558"/>
      <c r="AT9" s="558"/>
      <c r="AU9" s="558"/>
      <c r="AV9" s="558"/>
      <c r="AW9" s="558"/>
      <c r="AX9" s="558"/>
      <c r="AY9" s="558"/>
      <c r="AZ9" s="558"/>
      <c r="BA9" s="558"/>
      <c r="BB9" s="559"/>
      <c r="BC9" s="548"/>
      <c r="BD9" s="549"/>
      <c r="BE9" s="561"/>
      <c r="BF9" s="549"/>
      <c r="BG9" s="549"/>
      <c r="BH9" s="561"/>
      <c r="BI9" s="161"/>
    </row>
    <row r="10" spans="1:77" ht="10.15" customHeight="1" x14ac:dyDescent="0.15">
      <c r="A10" s="160"/>
      <c r="BI10" s="161"/>
    </row>
    <row r="11" spans="1:77" x14ac:dyDescent="0.15">
      <c r="A11" s="546" t="s">
        <v>386</v>
      </c>
      <c r="B11" s="547"/>
      <c r="C11" s="560"/>
      <c r="D11" s="546" t="s">
        <v>387</v>
      </c>
      <c r="E11" s="547"/>
      <c r="F11" s="547"/>
      <c r="G11" s="560"/>
      <c r="H11" s="546" t="s">
        <v>388</v>
      </c>
      <c r="I11" s="547"/>
      <c r="J11" s="547"/>
      <c r="K11" s="560"/>
      <c r="L11" s="546" t="s">
        <v>389</v>
      </c>
      <c r="M11" s="547"/>
      <c r="N11" s="547"/>
      <c r="O11" s="547"/>
      <c r="P11" s="547"/>
      <c r="Q11" s="547"/>
      <c r="R11" s="547"/>
      <c r="S11" s="547"/>
      <c r="T11" s="547"/>
      <c r="U11" s="547"/>
      <c r="V11" s="547"/>
      <c r="W11" s="547"/>
      <c r="X11" s="547"/>
      <c r="Y11" s="547"/>
      <c r="Z11" s="547"/>
      <c r="AA11" s="547"/>
      <c r="AB11" s="547"/>
      <c r="AC11" s="547"/>
      <c r="AD11" s="547"/>
      <c r="AE11" s="547"/>
      <c r="AF11" s="547"/>
      <c r="AG11" s="547"/>
      <c r="AH11" s="547"/>
      <c r="AI11" s="547"/>
      <c r="AJ11" s="547"/>
      <c r="AK11" s="547"/>
      <c r="AL11" s="547"/>
      <c r="AM11" s="547"/>
      <c r="AN11" s="547"/>
      <c r="AO11" s="547"/>
      <c r="AP11" s="547"/>
      <c r="AQ11" s="547"/>
      <c r="AR11" s="547"/>
      <c r="AS11" s="547"/>
      <c r="AT11" s="547"/>
      <c r="AU11" s="547"/>
      <c r="AV11" s="547"/>
      <c r="AW11" s="547"/>
      <c r="AX11" s="547"/>
      <c r="AY11" s="547"/>
      <c r="AZ11" s="547"/>
      <c r="BA11" s="547"/>
      <c r="BB11" s="547"/>
      <c r="BC11" s="547"/>
      <c r="BD11" s="593"/>
      <c r="BE11" s="593"/>
      <c r="BF11" s="593"/>
      <c r="BG11" s="593"/>
      <c r="BH11" s="594"/>
      <c r="BI11" s="161"/>
    </row>
    <row r="12" spans="1:77" ht="18" customHeight="1" x14ac:dyDescent="0.15">
      <c r="A12" s="562"/>
      <c r="B12" s="563"/>
      <c r="C12" s="564"/>
      <c r="D12" s="562"/>
      <c r="E12" s="563"/>
      <c r="F12" s="563"/>
      <c r="G12" s="564"/>
      <c r="H12" s="562"/>
      <c r="I12" s="563"/>
      <c r="J12" s="563"/>
      <c r="K12" s="563"/>
      <c r="L12" s="595" t="s">
        <v>390</v>
      </c>
      <c r="M12" s="593"/>
      <c r="N12" s="593"/>
      <c r="O12" s="593"/>
      <c r="P12" s="593"/>
      <c r="Q12" s="593"/>
      <c r="R12" s="593"/>
      <c r="S12" s="593"/>
      <c r="T12" s="593"/>
      <c r="U12" s="593"/>
      <c r="V12" s="593"/>
      <c r="W12" s="593"/>
      <c r="X12" s="593"/>
      <c r="Y12" s="593"/>
      <c r="Z12" s="594"/>
      <c r="AA12" s="596" t="s">
        <v>391</v>
      </c>
      <c r="AB12" s="597"/>
      <c r="AC12" s="597"/>
      <c r="AD12" s="597"/>
      <c r="AE12" s="597"/>
      <c r="AF12" s="597"/>
      <c r="AG12" s="597"/>
      <c r="AH12" s="597"/>
      <c r="AI12" s="598"/>
      <c r="AJ12" s="599" t="s">
        <v>420</v>
      </c>
      <c r="AK12" s="547"/>
      <c r="AL12" s="547"/>
      <c r="AM12" s="560"/>
      <c r="AN12" s="599" t="s">
        <v>392</v>
      </c>
      <c r="AO12" s="600"/>
      <c r="AP12" s="600"/>
      <c r="AQ12" s="600"/>
      <c r="AR12" s="601"/>
      <c r="AS12" s="546" t="s">
        <v>365</v>
      </c>
      <c r="AT12" s="547"/>
      <c r="AU12" s="547"/>
      <c r="AV12" s="547"/>
      <c r="AW12" s="560"/>
      <c r="AX12" s="546" t="s">
        <v>393</v>
      </c>
      <c r="AY12" s="547"/>
      <c r="AZ12" s="547"/>
      <c r="BA12" s="547"/>
      <c r="BB12" s="547"/>
      <c r="BC12" s="560"/>
      <c r="BD12" s="563" t="s">
        <v>394</v>
      </c>
      <c r="BE12" s="563"/>
      <c r="BF12" s="563"/>
      <c r="BG12" s="563"/>
      <c r="BH12" s="564"/>
      <c r="BI12" s="161"/>
    </row>
    <row r="13" spans="1:77" ht="13.9" customHeight="1" x14ac:dyDescent="0.15">
      <c r="A13" s="562"/>
      <c r="B13" s="563"/>
      <c r="C13" s="564"/>
      <c r="D13" s="590"/>
      <c r="E13" s="591"/>
      <c r="F13" s="591"/>
      <c r="G13" s="592"/>
      <c r="H13" s="590"/>
      <c r="I13" s="591"/>
      <c r="J13" s="591"/>
      <c r="K13" s="591"/>
      <c r="L13" s="546" t="s">
        <v>395</v>
      </c>
      <c r="M13" s="547"/>
      <c r="N13" s="547"/>
      <c r="O13" s="547"/>
      <c r="P13" s="560"/>
      <c r="Q13" s="565" t="s">
        <v>425</v>
      </c>
      <c r="R13" s="615"/>
      <c r="S13" s="615"/>
      <c r="T13" s="615"/>
      <c r="U13" s="616"/>
      <c r="V13" s="546" t="s">
        <v>396</v>
      </c>
      <c r="W13" s="547"/>
      <c r="X13" s="547"/>
      <c r="Y13" s="547"/>
      <c r="Z13" s="560"/>
      <c r="AA13" s="546" t="s">
        <v>312</v>
      </c>
      <c r="AB13" s="547"/>
      <c r="AC13" s="547"/>
      <c r="AD13" s="560"/>
      <c r="AE13" s="565" t="s">
        <v>397</v>
      </c>
      <c r="AF13" s="566"/>
      <c r="AG13" s="566"/>
      <c r="AH13" s="566"/>
      <c r="AI13" s="567"/>
      <c r="AJ13" s="562"/>
      <c r="AK13" s="563"/>
      <c r="AL13" s="563"/>
      <c r="AM13" s="564"/>
      <c r="AN13" s="602"/>
      <c r="AO13" s="603"/>
      <c r="AP13" s="603"/>
      <c r="AQ13" s="603"/>
      <c r="AR13" s="604"/>
      <c r="AS13" s="562"/>
      <c r="AT13" s="563"/>
      <c r="AU13" s="563"/>
      <c r="AV13" s="563"/>
      <c r="AW13" s="564"/>
      <c r="AX13" s="562"/>
      <c r="AY13" s="563"/>
      <c r="AZ13" s="563"/>
      <c r="BA13" s="563"/>
      <c r="BB13" s="563"/>
      <c r="BC13" s="564"/>
      <c r="BD13" s="563"/>
      <c r="BE13" s="563"/>
      <c r="BF13" s="563"/>
      <c r="BG13" s="563"/>
      <c r="BH13" s="564"/>
      <c r="BI13" s="161"/>
    </row>
    <row r="14" spans="1:77" ht="13.9" customHeight="1" x14ac:dyDescent="0.15">
      <c r="A14" s="562"/>
      <c r="B14" s="563"/>
      <c r="C14" s="564"/>
      <c r="D14" s="562" t="s">
        <v>398</v>
      </c>
      <c r="E14" s="563" t="s">
        <v>399</v>
      </c>
      <c r="F14" s="563"/>
      <c r="G14" s="564" t="s">
        <v>400</v>
      </c>
      <c r="H14" s="562" t="s">
        <v>398</v>
      </c>
      <c r="I14" s="563" t="s">
        <v>399</v>
      </c>
      <c r="J14" s="563"/>
      <c r="K14" s="563" t="s">
        <v>400</v>
      </c>
      <c r="L14" s="562"/>
      <c r="M14" s="563"/>
      <c r="N14" s="563"/>
      <c r="O14" s="563"/>
      <c r="P14" s="564"/>
      <c r="Q14" s="617" t="s">
        <v>426</v>
      </c>
      <c r="R14" s="618"/>
      <c r="S14" s="618"/>
      <c r="T14" s="618"/>
      <c r="U14" s="619"/>
      <c r="V14" s="562"/>
      <c r="W14" s="563"/>
      <c r="X14" s="563"/>
      <c r="Y14" s="563"/>
      <c r="Z14" s="564"/>
      <c r="AA14" s="562"/>
      <c r="AB14" s="563"/>
      <c r="AC14" s="563"/>
      <c r="AD14" s="564"/>
      <c r="AE14" s="568"/>
      <c r="AF14" s="569"/>
      <c r="AG14" s="569"/>
      <c r="AH14" s="569"/>
      <c r="AI14" s="570"/>
      <c r="AJ14" s="562"/>
      <c r="AK14" s="563"/>
      <c r="AL14" s="563"/>
      <c r="AM14" s="564"/>
      <c r="AN14" s="602"/>
      <c r="AO14" s="603"/>
      <c r="AP14" s="603"/>
      <c r="AQ14" s="603"/>
      <c r="AR14" s="604"/>
      <c r="AS14" s="562"/>
      <c r="AT14" s="563"/>
      <c r="AU14" s="563"/>
      <c r="AV14" s="563"/>
      <c r="AW14" s="564"/>
      <c r="AX14" s="562"/>
      <c r="AY14" s="563"/>
      <c r="AZ14" s="563"/>
      <c r="BA14" s="563"/>
      <c r="BB14" s="563"/>
      <c r="BC14" s="564"/>
      <c r="BD14" s="563"/>
      <c r="BE14" s="563"/>
      <c r="BF14" s="563"/>
      <c r="BG14" s="563"/>
      <c r="BH14" s="564"/>
      <c r="BI14" s="161"/>
    </row>
    <row r="15" spans="1:77" ht="13.9" customHeight="1" x14ac:dyDescent="0.15">
      <c r="A15" s="562"/>
      <c r="B15" s="563"/>
      <c r="C15" s="564"/>
      <c r="D15" s="562"/>
      <c r="E15" s="563" t="s">
        <v>401</v>
      </c>
      <c r="F15" s="563"/>
      <c r="G15" s="564"/>
      <c r="H15" s="562"/>
      <c r="I15" s="563" t="s">
        <v>401</v>
      </c>
      <c r="J15" s="563"/>
      <c r="K15" s="563"/>
      <c r="L15" s="548"/>
      <c r="M15" s="549"/>
      <c r="N15" s="549"/>
      <c r="O15" s="549"/>
      <c r="P15" s="561"/>
      <c r="Q15" s="620" t="s">
        <v>427</v>
      </c>
      <c r="R15" s="621"/>
      <c r="S15" s="621"/>
      <c r="T15" s="621"/>
      <c r="U15" s="622"/>
      <c r="V15" s="548"/>
      <c r="W15" s="549"/>
      <c r="X15" s="549"/>
      <c r="Y15" s="549"/>
      <c r="Z15" s="561"/>
      <c r="AA15" s="548"/>
      <c r="AB15" s="549"/>
      <c r="AC15" s="549"/>
      <c r="AD15" s="561"/>
      <c r="AE15" s="571"/>
      <c r="AF15" s="572"/>
      <c r="AG15" s="572"/>
      <c r="AH15" s="572"/>
      <c r="AI15" s="573"/>
      <c r="AJ15" s="548"/>
      <c r="AK15" s="549"/>
      <c r="AL15" s="549"/>
      <c r="AM15" s="561"/>
      <c r="AN15" s="167" t="s">
        <v>402</v>
      </c>
      <c r="AO15" s="168"/>
      <c r="AP15" s="168"/>
      <c r="AQ15" s="168" t="s">
        <v>403</v>
      </c>
      <c r="AR15" s="166"/>
      <c r="AS15" s="548"/>
      <c r="AT15" s="549"/>
      <c r="AU15" s="549"/>
      <c r="AV15" s="549"/>
      <c r="AW15" s="561"/>
      <c r="AX15" s="548"/>
      <c r="AY15" s="549"/>
      <c r="AZ15" s="549"/>
      <c r="BA15" s="549"/>
      <c r="BB15" s="549"/>
      <c r="BC15" s="561"/>
      <c r="BD15" s="563"/>
      <c r="BE15" s="563"/>
      <c r="BF15" s="563"/>
      <c r="BG15" s="563"/>
      <c r="BH15" s="564"/>
      <c r="BI15" s="161"/>
    </row>
    <row r="16" spans="1:77" x14ac:dyDescent="0.15">
      <c r="A16" s="574"/>
      <c r="B16" s="575"/>
      <c r="C16" s="576"/>
      <c r="D16" s="580" t="str">
        <f>'本人旅行経路（情報連携シート）'!C9</f>
        <v/>
      </c>
      <c r="E16" s="581"/>
      <c r="F16" s="581"/>
      <c r="G16" s="582"/>
      <c r="H16" s="580" t="str">
        <f>'本人旅行経路（情報連携シート）'!C10</f>
        <v/>
      </c>
      <c r="I16" s="581"/>
      <c r="J16" s="581"/>
      <c r="K16" s="581"/>
      <c r="L16" s="586" t="str">
        <f>IF(D16&lt;&gt;"",IF('本人旅行経路（情報連携シート）'!E9="鉄道",'本人旅行経路（情報連携シート）'!G9,"0"),"")</f>
        <v/>
      </c>
      <c r="M16" s="587"/>
      <c r="N16" s="587"/>
      <c r="O16" s="587"/>
      <c r="P16" s="169"/>
      <c r="Q16" s="225" t="s">
        <v>421</v>
      </c>
      <c r="R16" s="226" t="s">
        <v>422</v>
      </c>
      <c r="S16" s="226" t="s">
        <v>423</v>
      </c>
      <c r="T16" s="226" t="s">
        <v>424</v>
      </c>
      <c r="U16" s="169"/>
      <c r="V16" s="586" t="str">
        <f>IF(D16&lt;&gt;"",'本人旅行経路（情報連携シート）'!I9,"")</f>
        <v/>
      </c>
      <c r="W16" s="587"/>
      <c r="X16" s="587"/>
      <c r="Y16" s="587"/>
      <c r="Z16" s="169"/>
      <c r="AA16" s="229" t="s">
        <v>429</v>
      </c>
      <c r="AB16" s="230" t="s">
        <v>430</v>
      </c>
      <c r="AC16" s="230"/>
      <c r="AD16" s="169"/>
      <c r="AE16" s="229" t="s">
        <v>421</v>
      </c>
      <c r="AF16" s="230" t="s">
        <v>433</v>
      </c>
      <c r="AG16" s="230" t="s">
        <v>435</v>
      </c>
      <c r="AH16" s="230" t="s">
        <v>437</v>
      </c>
      <c r="AI16" s="169"/>
      <c r="AJ16" s="233" t="s">
        <v>404</v>
      </c>
      <c r="AK16" s="303" t="str">
        <f>IF(D16="","",IF(OR('本人旅行経路（情報連携シート）'!E9="徒歩・その他の交通用具",'本人旅行経路（情報連携シート）'!E9="バス",'本人旅行経路（情報連携シート）'!E9="タクシー"),'本人旅行経路（情報連携シート）'!F9,"0"))</f>
        <v/>
      </c>
      <c r="AL16" s="234" t="s">
        <v>405</v>
      </c>
      <c r="AM16" s="169" t="s">
        <v>406</v>
      </c>
      <c r="AN16" s="605" t="str">
        <f>BN17</f>
        <v/>
      </c>
      <c r="AO16" s="606"/>
      <c r="AP16" s="606"/>
      <c r="AQ16" s="294" t="str">
        <f>IF(BM17&lt;&gt;"",1,"")</f>
        <v/>
      </c>
      <c r="AR16" s="169" t="s">
        <v>407</v>
      </c>
      <c r="AS16" s="607" t="str">
        <f>IF(BR17&lt;&gt;"",1,"")</f>
        <v/>
      </c>
      <c r="AT16" s="608"/>
      <c r="AU16" s="608"/>
      <c r="AV16" s="608"/>
      <c r="AW16" s="169" t="s">
        <v>408</v>
      </c>
      <c r="AX16" s="156" t="s">
        <v>409</v>
      </c>
      <c r="AY16" s="157"/>
      <c r="AZ16" s="157"/>
      <c r="BA16" s="157"/>
      <c r="BB16" s="157"/>
      <c r="BC16" s="158"/>
      <c r="BD16" s="176"/>
      <c r="BE16" s="176"/>
      <c r="BF16" s="176"/>
      <c r="BG16" s="176"/>
      <c r="BH16" s="177"/>
      <c r="BI16" s="161"/>
      <c r="BK16" s="299" t="s">
        <v>4</v>
      </c>
      <c r="BL16" s="221" t="s">
        <v>484</v>
      </c>
      <c r="BM16" s="301" t="s">
        <v>441</v>
      </c>
      <c r="BN16" s="222" t="s">
        <v>485</v>
      </c>
      <c r="BP16" s="300" t="s">
        <v>4</v>
      </c>
      <c r="BQ16" s="221" t="s">
        <v>484</v>
      </c>
      <c r="BR16" s="222" t="s">
        <v>293</v>
      </c>
      <c r="BS16" s="213"/>
      <c r="BT16" s="215"/>
      <c r="BU16" s="215"/>
      <c r="BV16" s="215"/>
      <c r="BW16" s="215"/>
      <c r="BX16" s="215"/>
      <c r="BY16" s="213"/>
    </row>
    <row r="17" spans="1:77" ht="15.75" x14ac:dyDescent="0.25">
      <c r="A17" s="577"/>
      <c r="B17" s="578"/>
      <c r="C17" s="579"/>
      <c r="D17" s="583"/>
      <c r="E17" s="584"/>
      <c r="F17" s="584"/>
      <c r="G17" s="585"/>
      <c r="H17" s="583"/>
      <c r="I17" s="584"/>
      <c r="J17" s="584"/>
      <c r="K17" s="584"/>
      <c r="L17" s="588"/>
      <c r="M17" s="589"/>
      <c r="N17" s="589"/>
      <c r="O17" s="589"/>
      <c r="P17" s="178" t="s">
        <v>369</v>
      </c>
      <c r="Q17" s="588" t="str">
        <f>IF(D16&lt;&gt;"",IF('本人旅行経路（情報連携シート）'!E9="鉄道",SUM('本人旅行経路（情報連携シート）'!K9,'本人旅行経路（情報連携シート）'!M9,'本人旅行経路（情報連携シート）'!O9),"0"),"")</f>
        <v/>
      </c>
      <c r="R17" s="589"/>
      <c r="S17" s="589"/>
      <c r="T17" s="589"/>
      <c r="U17" s="178" t="s">
        <v>369</v>
      </c>
      <c r="V17" s="588"/>
      <c r="W17" s="589"/>
      <c r="X17" s="589"/>
      <c r="Y17" s="589"/>
      <c r="Z17" s="178" t="s">
        <v>369</v>
      </c>
      <c r="AA17" s="609" t="str">
        <f>IF(D16&lt;&gt;"",IF(OR('本人旅行経路（情報連携シート）'!E9="船",'本人旅行経路（情報連携シート）'!E9="飛行機",'本人旅行経路（情報連携シート）'!E9="ヘリ"),'本人旅行経路（情報連携シート）'!G9,"0"),"")</f>
        <v/>
      </c>
      <c r="AB17" s="610"/>
      <c r="AC17" s="610"/>
      <c r="AD17" s="179" t="s">
        <v>26</v>
      </c>
      <c r="AE17" s="609" t="str">
        <f>IF(D16&lt;&gt;"",IF('本人旅行経路（情報連携シート）'!E9="飛行機",SUM('本人旅行経路（情報連携シート）'!K9,'本人旅行経路（情報連携シート）'!Q9),IF('本人旅行経路（情報連携シート）'!E9="船",SUM('本人旅行経路（情報連携シート）'!M9,'本人旅行経路（情報連携シート）'!O9,'本人旅行経路（情報連携シート）'!Q9),IF('本人旅行経路（情報連携シート）'!E9="ヘリ",'本人旅行経路（情報連携シート）'!Q9,"0"))),"")</f>
        <v/>
      </c>
      <c r="AF17" s="610"/>
      <c r="AG17" s="610"/>
      <c r="AH17" s="610"/>
      <c r="AI17" s="179" t="s">
        <v>369</v>
      </c>
      <c r="AJ17" s="611" t="str">
        <f>IF(D16&lt;&gt;"",IF(OR('本人旅行経路（情報連携シート）'!E9="徒歩・その他の交通用具",'本人旅行経路（情報連携シート）'!E9="タクシー",'本人旅行経路（情報連携シート）'!E9="バス"),'本人旅行経路（情報連携シート）'!G9,"0"),"")</f>
        <v/>
      </c>
      <c r="AK17" s="612"/>
      <c r="AL17" s="612"/>
      <c r="AM17" s="179" t="s">
        <v>369</v>
      </c>
      <c r="AN17" s="588" t="str">
        <f>BM17</f>
        <v/>
      </c>
      <c r="AO17" s="589"/>
      <c r="AP17" s="589"/>
      <c r="AQ17" s="589"/>
      <c r="AR17" s="179" t="s">
        <v>369</v>
      </c>
      <c r="AS17" s="613" t="str">
        <f>BR17</f>
        <v/>
      </c>
      <c r="AT17" s="614"/>
      <c r="AU17" s="614"/>
      <c r="AV17" s="614"/>
      <c r="AW17" s="179" t="s">
        <v>369</v>
      </c>
      <c r="AX17" s="160" t="s">
        <v>410</v>
      </c>
      <c r="BC17" s="161"/>
      <c r="BD17" s="696">
        <f>SUM(L36,Q36,V36,AA36,AE36,AJ37,AN37,AS37,AY22,AY32,'請求内訳書 (予備)'!$BD$17:$BG$18)</f>
        <v>0</v>
      </c>
      <c r="BE17" s="696"/>
      <c r="BF17" s="696"/>
      <c r="BG17" s="696"/>
      <c r="BH17" s="161"/>
      <c r="BI17" s="161"/>
      <c r="BK17" s="541">
        <f>IFERROR(MATCH(A16,'基本情報（情報連携シート）'!$C$125:$C$126,0),0)</f>
        <v>0</v>
      </c>
      <c r="BL17" s="539">
        <f>COUNTIF(BK$17:BK17,BK17)</f>
        <v>1</v>
      </c>
      <c r="BM17" s="541" t="str">
        <f>IF(AND(BK17&lt;&gt;0,BL17=1),INDEX('基本情報（情報連携シート）'!$D$125:$D$126,BK17),"")</f>
        <v/>
      </c>
      <c r="BN17" s="539" t="str">
        <f>IF(AND(BK17=1,BL17=1,BM17&lt;&gt;""),'基本情報（情報連携シート）'!$F$64,IF(AND(BK17=2,BL17=1,BM17&lt;&gt;""),'基本情報（情報連携シート）'!$F$65,""))</f>
        <v/>
      </c>
      <c r="BP17" s="541">
        <f>IFERROR(MATCH(A16,'基本情報（情報連携シート）'!$C$129:$C$132,0),0)</f>
        <v>0</v>
      </c>
      <c r="BQ17" s="539">
        <f>COUNTIF(BP$17:BP17,BP17)</f>
        <v>1</v>
      </c>
      <c r="BR17" s="541" t="str">
        <f>IF(AND(BP17&lt;&gt;0,BQ17=1),INDEX('基本情報（情報連携シート）'!$D$129:$D$132,BP17),"")</f>
        <v/>
      </c>
      <c r="BS17" s="213"/>
      <c r="BT17" s="212"/>
      <c r="BU17" s="212"/>
      <c r="BV17" s="212"/>
      <c r="BW17" s="212"/>
      <c r="BX17" s="212"/>
      <c r="BY17" s="217"/>
    </row>
    <row r="18" spans="1:77" ht="14.25" x14ac:dyDescent="0.2">
      <c r="A18" s="574"/>
      <c r="B18" s="575"/>
      <c r="C18" s="576"/>
      <c r="D18" s="580" t="str">
        <f>'本人旅行経路（情報連携シート）'!C11</f>
        <v/>
      </c>
      <c r="E18" s="581"/>
      <c r="F18" s="581"/>
      <c r="G18" s="582"/>
      <c r="H18" s="580" t="str">
        <f>'本人旅行経路（情報連携シート）'!C12</f>
        <v/>
      </c>
      <c r="I18" s="581"/>
      <c r="J18" s="581"/>
      <c r="K18" s="581"/>
      <c r="L18" s="588" t="str">
        <f>IF(D18&lt;&gt;"",IF('本人旅行経路（情報連携シート）'!E11="鉄道",'本人旅行経路（情報連携シート）'!G11,"0"),"")</f>
        <v/>
      </c>
      <c r="M18" s="589"/>
      <c r="N18" s="589"/>
      <c r="O18" s="589"/>
      <c r="P18" s="178"/>
      <c r="Q18" s="227" t="s">
        <v>421</v>
      </c>
      <c r="R18" s="228" t="s">
        <v>422</v>
      </c>
      <c r="S18" s="228" t="s">
        <v>423</v>
      </c>
      <c r="T18" s="228" t="s">
        <v>424</v>
      </c>
      <c r="U18" s="178"/>
      <c r="V18" s="588" t="str">
        <f>IF(D18&lt;&gt;"",'本人旅行経路（情報連携シート）'!I11,"")</f>
        <v/>
      </c>
      <c r="W18" s="589"/>
      <c r="X18" s="589"/>
      <c r="Y18" s="589"/>
      <c r="Z18" s="178"/>
      <c r="AA18" s="231" t="s">
        <v>428</v>
      </c>
      <c r="AB18" s="232" t="s">
        <v>161</v>
      </c>
      <c r="AC18" s="232"/>
      <c r="AD18" s="178"/>
      <c r="AE18" s="231" t="s">
        <v>431</v>
      </c>
      <c r="AF18" s="232" t="s">
        <v>432</v>
      </c>
      <c r="AG18" s="232" t="s">
        <v>434</v>
      </c>
      <c r="AH18" s="232" t="s">
        <v>436</v>
      </c>
      <c r="AI18" s="178"/>
      <c r="AJ18" s="223" t="s">
        <v>404</v>
      </c>
      <c r="AK18" s="302" t="str">
        <f>IF(D18="","",IF(OR('本人旅行経路（情報連携シート）'!E11="徒歩・その他の交通用具",'本人旅行経路（情報連携シート）'!E11="バス",'本人旅行経路（情報連携シート）'!E11="タクシー"),'本人旅行経路（情報連携シート）'!F11,"0"))</f>
        <v/>
      </c>
      <c r="AL18" s="224" t="s">
        <v>405</v>
      </c>
      <c r="AM18" s="178" t="s">
        <v>406</v>
      </c>
      <c r="AN18" s="624" t="str">
        <f>BN19</f>
        <v/>
      </c>
      <c r="AO18" s="625"/>
      <c r="AP18" s="625"/>
      <c r="AQ18" s="295" t="str">
        <f>IF(BM19&lt;&gt;"",1,"")</f>
        <v/>
      </c>
      <c r="AR18" s="178" t="s">
        <v>407</v>
      </c>
      <c r="AS18" s="611" t="str">
        <f>IF(BR19&lt;&gt;"",1,"")</f>
        <v/>
      </c>
      <c r="AT18" s="612"/>
      <c r="AU18" s="612"/>
      <c r="AV18" s="612"/>
      <c r="AW18" s="177" t="s">
        <v>408</v>
      </c>
      <c r="AX18" s="160"/>
      <c r="AY18" s="623"/>
      <c r="AZ18" s="623"/>
      <c r="BA18" s="623"/>
      <c r="BB18" s="623"/>
      <c r="BC18" s="161" t="s">
        <v>369</v>
      </c>
      <c r="BD18" s="696"/>
      <c r="BE18" s="696"/>
      <c r="BF18" s="696"/>
      <c r="BG18" s="696"/>
      <c r="BH18" s="161" t="s">
        <v>369</v>
      </c>
      <c r="BI18" s="161"/>
      <c r="BK18" s="541"/>
      <c r="BL18" s="540"/>
      <c r="BM18" s="541"/>
      <c r="BN18" s="540"/>
      <c r="BP18" s="541"/>
      <c r="BQ18" s="540"/>
      <c r="BR18" s="541"/>
      <c r="BS18" s="213"/>
      <c r="BT18" s="218"/>
      <c r="BU18" s="212"/>
      <c r="BV18" s="212"/>
      <c r="BW18" s="212"/>
      <c r="BX18" s="212"/>
      <c r="BY18" s="219"/>
    </row>
    <row r="19" spans="1:77" ht="14.25" x14ac:dyDescent="0.2">
      <c r="A19" s="577"/>
      <c r="B19" s="578"/>
      <c r="C19" s="579"/>
      <c r="D19" s="583"/>
      <c r="E19" s="584"/>
      <c r="F19" s="584"/>
      <c r="G19" s="585"/>
      <c r="H19" s="583"/>
      <c r="I19" s="584"/>
      <c r="J19" s="584"/>
      <c r="K19" s="584"/>
      <c r="L19" s="588"/>
      <c r="M19" s="589"/>
      <c r="N19" s="589"/>
      <c r="O19" s="589"/>
      <c r="P19" s="178" t="s">
        <v>369</v>
      </c>
      <c r="Q19" s="588" t="str">
        <f>IF(D18&lt;&gt;"",IF('本人旅行経路（情報連携シート）'!E11="鉄道",SUM('本人旅行経路（情報連携シート）'!K11,'本人旅行経路（情報連携シート）'!M11,'本人旅行経路（情報連携シート）'!O11),"0"),"")</f>
        <v/>
      </c>
      <c r="R19" s="589"/>
      <c r="S19" s="589"/>
      <c r="T19" s="589"/>
      <c r="U19" s="178" t="s">
        <v>369</v>
      </c>
      <c r="V19" s="588"/>
      <c r="W19" s="589"/>
      <c r="X19" s="589"/>
      <c r="Y19" s="589"/>
      <c r="Z19" s="178" t="s">
        <v>369</v>
      </c>
      <c r="AA19" s="609" t="str">
        <f>IF(D18&lt;&gt;"",IF(OR('本人旅行経路（情報連携シート）'!E11="船",'本人旅行経路（情報連携シート）'!E11="飛行機",'本人旅行経路（情報連携シート）'!E11="ヘリ"),'本人旅行経路（情報連携シート）'!G11,"0"),"")</f>
        <v/>
      </c>
      <c r="AB19" s="610"/>
      <c r="AC19" s="610"/>
      <c r="AD19" s="179" t="s">
        <v>26</v>
      </c>
      <c r="AE19" s="609" t="str">
        <f>IF(D18&lt;&gt;"",IF('本人旅行経路（情報連携シート）'!E11="飛行機",SUM('本人旅行経路（情報連携シート）'!K11,'本人旅行経路（情報連携シート）'!Q11),IF('本人旅行経路（情報連携シート）'!E11="船",SUM('本人旅行経路（情報連携シート）'!M11,'本人旅行経路（情報連携シート）'!O11,'本人旅行経路（情報連携シート）'!Q11),IF('本人旅行経路（情報連携シート）'!E11="ヘリ",'本人旅行経路（情報連携シート）'!Q11,"0"))),"")</f>
        <v/>
      </c>
      <c r="AF19" s="610"/>
      <c r="AG19" s="610"/>
      <c r="AH19" s="610"/>
      <c r="AI19" s="179" t="s">
        <v>369</v>
      </c>
      <c r="AJ19" s="611" t="str">
        <f>IF(D18&lt;&gt;"",IF(OR('本人旅行経路（情報連携シート）'!E11="徒歩・その他の交通用具",'本人旅行経路（情報連携シート）'!E11="タクシー",'本人旅行経路（情報連携シート）'!E11="バス"),'本人旅行経路（情報連携シート）'!G11,"0"),"")</f>
        <v/>
      </c>
      <c r="AK19" s="612"/>
      <c r="AL19" s="612"/>
      <c r="AM19" s="179" t="s">
        <v>369</v>
      </c>
      <c r="AN19" s="613" t="str">
        <f>BM19</f>
        <v/>
      </c>
      <c r="AO19" s="614"/>
      <c r="AP19" s="614"/>
      <c r="AQ19" s="614"/>
      <c r="AR19" s="179" t="s">
        <v>369</v>
      </c>
      <c r="AS19" s="613" t="str">
        <f>BR19</f>
        <v/>
      </c>
      <c r="AT19" s="614"/>
      <c r="AU19" s="614"/>
      <c r="AV19" s="614"/>
      <c r="AW19" s="179" t="s">
        <v>369</v>
      </c>
      <c r="AX19" s="160" t="s">
        <v>411</v>
      </c>
      <c r="BC19" s="161"/>
      <c r="BD19" s="698" t="s">
        <v>412</v>
      </c>
      <c r="BE19" s="698"/>
      <c r="BF19" s="698"/>
      <c r="BG19" s="698"/>
      <c r="BH19" s="699"/>
      <c r="BI19" s="161"/>
      <c r="BK19" s="541">
        <f>IFERROR(MATCH(A18,'基本情報（情報連携シート）'!$C$125:$C$126,0),0)</f>
        <v>0</v>
      </c>
      <c r="BL19" s="539">
        <f>COUNTIF(BK$17:BK19,BK19)</f>
        <v>2</v>
      </c>
      <c r="BM19" s="541" t="str">
        <f>IF(AND(BK19&lt;&gt;0,BL19=1),INDEX('基本情報（情報連携シート）'!$D$125:$D$126,BK19),"")</f>
        <v/>
      </c>
      <c r="BN19" s="539" t="str">
        <f>IF(AND(BK19=1,BL19=1,BM19&lt;&gt;""),'基本情報（情報連携シート）'!$F$64,IF(AND(BK19=2,BL19=1,BM19&lt;&gt;""),'基本情報（情報連携シート）'!$F$65,""))</f>
        <v/>
      </c>
      <c r="BP19" s="541">
        <f>IFERROR(MATCH(A18,'基本情報（情報連携シート）'!$C$129:$C$132,0),0)</f>
        <v>0</v>
      </c>
      <c r="BQ19" s="539">
        <f>COUNTIF(BP$17:BP19,BP19)</f>
        <v>2</v>
      </c>
      <c r="BR19" s="541" t="str">
        <f>IF(AND(BP19&lt;&gt;0,BQ19=1),INDEX('基本情報（情報連携シート）'!$D$129:$D$132,BP19),"")</f>
        <v/>
      </c>
      <c r="BS19" s="213"/>
      <c r="BT19" s="218"/>
      <c r="BU19" s="218"/>
      <c r="BV19" s="212"/>
      <c r="BW19" s="212"/>
      <c r="BX19" s="212"/>
      <c r="BY19" s="219"/>
    </row>
    <row r="20" spans="1:77" ht="14.25" x14ac:dyDescent="0.2">
      <c r="A20" s="574"/>
      <c r="B20" s="575"/>
      <c r="C20" s="576"/>
      <c r="D20" s="580" t="str">
        <f>'本人旅行経路（情報連携シート）'!C13</f>
        <v/>
      </c>
      <c r="E20" s="581"/>
      <c r="F20" s="581"/>
      <c r="G20" s="582"/>
      <c r="H20" s="580" t="str">
        <f>'本人旅行経路（情報連携シート）'!C14</f>
        <v/>
      </c>
      <c r="I20" s="581"/>
      <c r="J20" s="581"/>
      <c r="K20" s="581"/>
      <c r="L20" s="588" t="str">
        <f>IF(D20&lt;&gt;"",IF('本人旅行経路（情報連携シート）'!E13="鉄道",'本人旅行経路（情報連携シート）'!G13,"0"),"")</f>
        <v/>
      </c>
      <c r="M20" s="589"/>
      <c r="N20" s="589"/>
      <c r="O20" s="589"/>
      <c r="P20" s="178"/>
      <c r="Q20" s="227" t="s">
        <v>421</v>
      </c>
      <c r="R20" s="228" t="s">
        <v>422</v>
      </c>
      <c r="S20" s="228" t="s">
        <v>423</v>
      </c>
      <c r="T20" s="228" t="s">
        <v>424</v>
      </c>
      <c r="U20" s="178"/>
      <c r="V20" s="588" t="str">
        <f>IF(D20&lt;&gt;"",'本人旅行経路（情報連携シート）'!I13,"")</f>
        <v/>
      </c>
      <c r="W20" s="589"/>
      <c r="X20" s="589"/>
      <c r="Y20" s="589"/>
      <c r="Z20" s="178"/>
      <c r="AA20" s="231" t="s">
        <v>428</v>
      </c>
      <c r="AB20" s="232" t="s">
        <v>161</v>
      </c>
      <c r="AC20" s="232"/>
      <c r="AD20" s="178"/>
      <c r="AE20" s="231" t="s">
        <v>431</v>
      </c>
      <c r="AF20" s="232" t="s">
        <v>432</v>
      </c>
      <c r="AG20" s="232" t="s">
        <v>434</v>
      </c>
      <c r="AH20" s="232" t="s">
        <v>436</v>
      </c>
      <c r="AI20" s="178"/>
      <c r="AJ20" s="223" t="s">
        <v>404</v>
      </c>
      <c r="AK20" s="302" t="str">
        <f>IF(D20="","",IF(OR('本人旅行経路（情報連携シート）'!E13="徒歩・その他の交通用具",'本人旅行経路（情報連携シート）'!E13="バス",'本人旅行経路（情報連携シート）'!E13="タクシー"),'本人旅行経路（情報連携シート）'!F13,"0"))</f>
        <v/>
      </c>
      <c r="AL20" s="224" t="s">
        <v>405</v>
      </c>
      <c r="AM20" s="178" t="s">
        <v>406</v>
      </c>
      <c r="AN20" s="624" t="str">
        <f>BN21</f>
        <v/>
      </c>
      <c r="AO20" s="625"/>
      <c r="AP20" s="625"/>
      <c r="AQ20" s="295" t="str">
        <f>IF(BM21&lt;&gt;"",1,"")</f>
        <v/>
      </c>
      <c r="AR20" s="178" t="s">
        <v>407</v>
      </c>
      <c r="AS20" s="611" t="str">
        <f>IF(BR21&lt;&gt;"",1,"")</f>
        <v/>
      </c>
      <c r="AT20" s="612"/>
      <c r="AU20" s="612"/>
      <c r="AV20" s="612"/>
      <c r="AW20" s="177" t="s">
        <v>408</v>
      </c>
      <c r="AX20" s="160"/>
      <c r="AY20" s="623"/>
      <c r="AZ20" s="623"/>
      <c r="BA20" s="623"/>
      <c r="BB20" s="623"/>
      <c r="BC20" s="161" t="s">
        <v>369</v>
      </c>
      <c r="BD20" s="706"/>
      <c r="BE20" s="707"/>
      <c r="BF20" s="707"/>
      <c r="BG20" s="707"/>
      <c r="BH20" s="708"/>
      <c r="BI20" s="161"/>
      <c r="BK20" s="541"/>
      <c r="BL20" s="540"/>
      <c r="BM20" s="541"/>
      <c r="BN20" s="540"/>
      <c r="BP20" s="541"/>
      <c r="BQ20" s="540"/>
      <c r="BR20" s="541"/>
      <c r="BS20" s="213"/>
      <c r="BT20" s="218"/>
      <c r="BU20" s="212"/>
      <c r="BV20" s="212"/>
      <c r="BW20" s="212"/>
      <c r="BX20" s="212"/>
      <c r="BY20" s="219"/>
    </row>
    <row r="21" spans="1:77" ht="15" x14ac:dyDescent="0.25">
      <c r="A21" s="577"/>
      <c r="B21" s="578"/>
      <c r="C21" s="579"/>
      <c r="D21" s="583"/>
      <c r="E21" s="584"/>
      <c r="F21" s="584"/>
      <c r="G21" s="585"/>
      <c r="H21" s="583"/>
      <c r="I21" s="584"/>
      <c r="J21" s="584"/>
      <c r="K21" s="584"/>
      <c r="L21" s="588"/>
      <c r="M21" s="589"/>
      <c r="N21" s="589"/>
      <c r="O21" s="589"/>
      <c r="P21" s="178" t="s">
        <v>369</v>
      </c>
      <c r="Q21" s="588" t="str">
        <f>IF(D20&lt;&gt;"",IF('本人旅行経路（情報連携シート）'!E13="鉄道",SUM('本人旅行経路（情報連携シート）'!K13,'本人旅行経路（情報連携シート）'!M13,'本人旅行経路（情報連携シート）'!O13),"0"),"")</f>
        <v/>
      </c>
      <c r="R21" s="589"/>
      <c r="S21" s="589"/>
      <c r="T21" s="589"/>
      <c r="U21" s="178" t="s">
        <v>369</v>
      </c>
      <c r="V21" s="588"/>
      <c r="W21" s="589"/>
      <c r="X21" s="589"/>
      <c r="Y21" s="589"/>
      <c r="Z21" s="178" t="s">
        <v>369</v>
      </c>
      <c r="AA21" s="609" t="str">
        <f>IF(D20&lt;&gt;"",IF(OR('本人旅行経路（情報連携シート）'!E13="船",'本人旅行経路（情報連携シート）'!E13="飛行機",'本人旅行経路（情報連携シート）'!E13="ヘリ"),'本人旅行経路（情報連携シート）'!G13,"0"),"")</f>
        <v/>
      </c>
      <c r="AB21" s="610"/>
      <c r="AC21" s="610"/>
      <c r="AD21" s="179" t="s">
        <v>26</v>
      </c>
      <c r="AE21" s="609" t="str">
        <f>IF(D20&lt;&gt;"",IF('本人旅行経路（情報連携シート）'!E13="飛行機",SUM('本人旅行経路（情報連携シート）'!K13,'本人旅行経路（情報連携シート）'!Q13),IF('本人旅行経路（情報連携シート）'!E13="船",SUM('本人旅行経路（情報連携シート）'!M13,'本人旅行経路（情報連携シート）'!O13,'本人旅行経路（情報連携シート）'!Q13),IF('本人旅行経路（情報連携シート）'!E13="ヘリ",'本人旅行経路（情報連携シート）'!Q13,"0"))),"")</f>
        <v/>
      </c>
      <c r="AF21" s="610"/>
      <c r="AG21" s="610"/>
      <c r="AH21" s="610"/>
      <c r="AI21" s="179" t="s">
        <v>369</v>
      </c>
      <c r="AJ21" s="611" t="str">
        <f>IF(D20&lt;&gt;"",IF(OR('本人旅行経路（情報連携シート）'!E13="徒歩・その他の交通用具",'本人旅行経路（情報連携シート）'!E13="タクシー",'本人旅行経路（情報連携シート）'!E13="バス"),'本人旅行経路（情報連携シート）'!G13,"0"),"")</f>
        <v/>
      </c>
      <c r="AK21" s="612"/>
      <c r="AL21" s="612"/>
      <c r="AM21" s="179" t="s">
        <v>369</v>
      </c>
      <c r="AN21" s="613" t="str">
        <f>BM21</f>
        <v/>
      </c>
      <c r="AO21" s="614"/>
      <c r="AP21" s="614"/>
      <c r="AQ21" s="614"/>
      <c r="AR21" s="179" t="s">
        <v>369</v>
      </c>
      <c r="AS21" s="613" t="str">
        <f>BR21</f>
        <v/>
      </c>
      <c r="AT21" s="614"/>
      <c r="AU21" s="614"/>
      <c r="AV21" s="614"/>
      <c r="AW21" s="179" t="s">
        <v>369</v>
      </c>
      <c r="AX21" s="160" t="s">
        <v>413</v>
      </c>
      <c r="BC21" s="161"/>
      <c r="BD21" s="709" t="str">
        <f>IF('基本情報（情報連携シート）'!S3="希望する","現金支給希望有","")</f>
        <v/>
      </c>
      <c r="BE21" s="710"/>
      <c r="BF21" s="710"/>
      <c r="BG21" s="710"/>
      <c r="BH21" s="711"/>
      <c r="BI21" s="161"/>
      <c r="BK21" s="541">
        <f>IFERROR(MATCH(A20,'基本情報（情報連携シート）'!$C$125:$C$126,0),0)</f>
        <v>0</v>
      </c>
      <c r="BL21" s="539">
        <f>COUNTIF(BK$17:BK21,BK21)</f>
        <v>3</v>
      </c>
      <c r="BM21" s="541" t="str">
        <f>IF(AND(BK21&lt;&gt;0,BL21=1),INDEX('基本情報（情報連携シート）'!$D$125:$D$126,BK21),"")</f>
        <v/>
      </c>
      <c r="BN21" s="539" t="str">
        <f>IF(AND(BK21=1,BL21=1,BM21&lt;&gt;""),'基本情報（情報連携シート）'!$F$64,IF(AND(BK21=2,BL21=1,BM21&lt;&gt;""),'基本情報（情報連携シート）'!$F$65,""))</f>
        <v/>
      </c>
      <c r="BP21" s="541">
        <f>IFERROR(MATCH(A20,'基本情報（情報連携シート）'!$C$129:$C$132,0),0)</f>
        <v>0</v>
      </c>
      <c r="BQ21" s="539">
        <f>COUNTIF(BP$17:BP21,BP21)</f>
        <v>3</v>
      </c>
      <c r="BR21" s="541" t="str">
        <f>IF(AND(BP21&lt;&gt;0,BQ21=1),INDEX('基本情報（情報連携シート）'!$D$129:$D$132,BP21),"")</f>
        <v/>
      </c>
      <c r="BS21" s="213"/>
      <c r="BT21" s="220"/>
      <c r="BU21" s="220"/>
      <c r="BV21" s="220"/>
      <c r="BW21" s="220"/>
      <c r="BX21" s="220"/>
      <c r="BY21" s="220"/>
    </row>
    <row r="22" spans="1:77" x14ac:dyDescent="0.15">
      <c r="A22" s="574"/>
      <c r="B22" s="575"/>
      <c r="C22" s="576"/>
      <c r="D22" s="580" t="str">
        <f>'本人旅行経路（情報連携シート）'!C15</f>
        <v/>
      </c>
      <c r="E22" s="581"/>
      <c r="F22" s="581"/>
      <c r="G22" s="582"/>
      <c r="H22" s="580" t="str">
        <f>'本人旅行経路（情報連携シート）'!C16</f>
        <v/>
      </c>
      <c r="I22" s="581"/>
      <c r="J22" s="581"/>
      <c r="K22" s="581"/>
      <c r="L22" s="588" t="str">
        <f>IF(D22&lt;&gt;"",IF('本人旅行経路（情報連携シート）'!E15="鉄道",'本人旅行経路（情報連携シート）'!G15,"0"),"")</f>
        <v/>
      </c>
      <c r="M22" s="589"/>
      <c r="N22" s="589"/>
      <c r="O22" s="589"/>
      <c r="P22" s="178"/>
      <c r="Q22" s="227" t="s">
        <v>421</v>
      </c>
      <c r="R22" s="228" t="s">
        <v>422</v>
      </c>
      <c r="S22" s="228" t="s">
        <v>423</v>
      </c>
      <c r="T22" s="228" t="s">
        <v>424</v>
      </c>
      <c r="U22" s="178"/>
      <c r="V22" s="588" t="str">
        <f>IF(D22&lt;&gt;"",'本人旅行経路（情報連携シート）'!I15,"")</f>
        <v/>
      </c>
      <c r="W22" s="589"/>
      <c r="X22" s="589"/>
      <c r="Y22" s="589"/>
      <c r="Z22" s="178"/>
      <c r="AA22" s="231" t="s">
        <v>428</v>
      </c>
      <c r="AB22" s="232" t="s">
        <v>161</v>
      </c>
      <c r="AC22" s="232"/>
      <c r="AD22" s="178"/>
      <c r="AE22" s="231" t="s">
        <v>431</v>
      </c>
      <c r="AF22" s="232" t="s">
        <v>432</v>
      </c>
      <c r="AG22" s="232" t="s">
        <v>434</v>
      </c>
      <c r="AH22" s="232" t="s">
        <v>436</v>
      </c>
      <c r="AI22" s="178"/>
      <c r="AJ22" s="223" t="s">
        <v>404</v>
      </c>
      <c r="AK22" s="302" t="str">
        <f>IF(D22="","",IF(OR('本人旅行経路（情報連携シート）'!E15="徒歩・その他の交通用具",'本人旅行経路（情報連携シート）'!E15="バス",'本人旅行経路（情報連携シート）'!E15="タクシー"),'本人旅行経路（情報連携シート）'!F15,"0"))</f>
        <v/>
      </c>
      <c r="AL22" s="224" t="s">
        <v>405</v>
      </c>
      <c r="AM22" s="178" t="s">
        <v>406</v>
      </c>
      <c r="AN22" s="624" t="str">
        <f>BN23</f>
        <v/>
      </c>
      <c r="AO22" s="625"/>
      <c r="AP22" s="625"/>
      <c r="AQ22" s="295" t="str">
        <f>IF(BM23&lt;&gt;"",1,"")</f>
        <v/>
      </c>
      <c r="AR22" s="178" t="s">
        <v>407</v>
      </c>
      <c r="AS22" s="611" t="str">
        <f>IF(BR23&lt;&gt;"",1,"")</f>
        <v/>
      </c>
      <c r="AT22" s="612"/>
      <c r="AU22" s="612"/>
      <c r="AV22" s="612"/>
      <c r="AW22" s="177" t="s">
        <v>408</v>
      </c>
      <c r="AX22" s="167"/>
      <c r="AY22" s="626">
        <f>AY18-AY20</f>
        <v>0</v>
      </c>
      <c r="AZ22" s="626"/>
      <c r="BA22" s="626"/>
      <c r="BB22" s="626"/>
      <c r="BC22" s="166" t="s">
        <v>369</v>
      </c>
      <c r="BD22" s="712" t="str">
        <f>IF( '本人旅行経路（情報連携シート）'!G3="","","経路選択理由： " &amp; '本人旅行経路（情報連携シート）'!G3)</f>
        <v/>
      </c>
      <c r="BE22" s="713"/>
      <c r="BF22" s="713"/>
      <c r="BG22" s="713"/>
      <c r="BH22" s="714"/>
      <c r="BI22" s="161"/>
      <c r="BK22" s="541"/>
      <c r="BL22" s="540"/>
      <c r="BM22" s="541"/>
      <c r="BN22" s="540"/>
      <c r="BP22" s="541"/>
      <c r="BQ22" s="540"/>
      <c r="BR22" s="541"/>
      <c r="BS22" s="213"/>
    </row>
    <row r="23" spans="1:77" x14ac:dyDescent="0.15">
      <c r="A23" s="577"/>
      <c r="B23" s="578"/>
      <c r="C23" s="579"/>
      <c r="D23" s="583"/>
      <c r="E23" s="584"/>
      <c r="F23" s="584"/>
      <c r="G23" s="585"/>
      <c r="H23" s="583"/>
      <c r="I23" s="584"/>
      <c r="J23" s="584"/>
      <c r="K23" s="584"/>
      <c r="L23" s="588"/>
      <c r="M23" s="589"/>
      <c r="N23" s="589"/>
      <c r="O23" s="589"/>
      <c r="P23" s="178" t="s">
        <v>369</v>
      </c>
      <c r="Q23" s="588" t="str">
        <f>IF(D22&lt;&gt;"",IF('本人旅行経路（情報連携シート）'!E15="鉄道",SUM('本人旅行経路（情報連携シート）'!K15,'本人旅行経路（情報連携シート）'!M15,'本人旅行経路（情報連携シート）'!O15),"0"),"")</f>
        <v/>
      </c>
      <c r="R23" s="589"/>
      <c r="S23" s="589"/>
      <c r="T23" s="589"/>
      <c r="U23" s="178" t="s">
        <v>369</v>
      </c>
      <c r="V23" s="588"/>
      <c r="W23" s="589"/>
      <c r="X23" s="589"/>
      <c r="Y23" s="589"/>
      <c r="Z23" s="178" t="s">
        <v>369</v>
      </c>
      <c r="AA23" s="609" t="str">
        <f>IF(D22&lt;&gt;"",IF(OR('本人旅行経路（情報連携シート）'!E15="船",'本人旅行経路（情報連携シート）'!E15="飛行機",'本人旅行経路（情報連携シート）'!E15="ヘリ"),'本人旅行経路（情報連携シート）'!G15,"0"),"")</f>
        <v/>
      </c>
      <c r="AB23" s="610"/>
      <c r="AC23" s="610"/>
      <c r="AD23" s="179" t="s">
        <v>26</v>
      </c>
      <c r="AE23" s="609" t="str">
        <f>IF(D22&lt;&gt;"",IF('本人旅行経路（情報連携シート）'!E15="飛行機",SUM('本人旅行経路（情報連携シート）'!K15,'本人旅行経路（情報連携シート）'!Q15),IF('本人旅行経路（情報連携シート）'!E15="船",SUM('本人旅行経路（情報連携シート）'!M15,'本人旅行経路（情報連携シート）'!O15,'本人旅行経路（情報連携シート）'!Q15),IF('本人旅行経路（情報連携シート）'!E15="ヘリ",'本人旅行経路（情報連携シート）'!Q15,"0"))),"")</f>
        <v/>
      </c>
      <c r="AF23" s="610"/>
      <c r="AG23" s="610"/>
      <c r="AH23" s="610"/>
      <c r="AI23" s="179" t="s">
        <v>369</v>
      </c>
      <c r="AJ23" s="611" t="str">
        <f>IF(D22&lt;&gt;"",IF(OR('本人旅行経路（情報連携シート）'!E15="徒歩・その他の交通用具",'本人旅行経路（情報連携シート）'!E15="タクシー",'本人旅行経路（情報連携シート）'!E15="バス"),'本人旅行経路（情報連携シート）'!G15,"0"),"")</f>
        <v/>
      </c>
      <c r="AK23" s="612"/>
      <c r="AL23" s="612"/>
      <c r="AM23" s="179" t="s">
        <v>369</v>
      </c>
      <c r="AN23" s="613" t="str">
        <f>BM23</f>
        <v/>
      </c>
      <c r="AO23" s="614"/>
      <c r="AP23" s="614"/>
      <c r="AQ23" s="614"/>
      <c r="AR23" s="179" t="s">
        <v>369</v>
      </c>
      <c r="AS23" s="613" t="str">
        <f>BR23</f>
        <v/>
      </c>
      <c r="AT23" s="614"/>
      <c r="AU23" s="614"/>
      <c r="AV23" s="614"/>
      <c r="AW23" s="179" t="s">
        <v>369</v>
      </c>
      <c r="AX23" s="186" t="s">
        <v>366</v>
      </c>
      <c r="AY23" s="187"/>
      <c r="AZ23" s="187"/>
      <c r="BA23" s="187"/>
      <c r="BB23" s="187"/>
      <c r="BC23" s="158"/>
      <c r="BD23" s="712"/>
      <c r="BE23" s="713"/>
      <c r="BF23" s="713"/>
      <c r="BG23" s="713"/>
      <c r="BH23" s="714"/>
      <c r="BI23" s="161"/>
      <c r="BK23" s="541">
        <f>IFERROR(MATCH(A22,'基本情報（情報連携シート）'!$C$125:$C$126,0),0)</f>
        <v>0</v>
      </c>
      <c r="BL23" s="539">
        <f>COUNTIF(BK$17:BK23,BK23)</f>
        <v>4</v>
      </c>
      <c r="BM23" s="541" t="str">
        <f>IF(AND(BK23&lt;&gt;0,BL23=1),INDEX('基本情報（情報連携シート）'!$D$125:$D$126,BK23),"")</f>
        <v/>
      </c>
      <c r="BN23" s="539" t="str">
        <f>IF(AND(BK23=1,BL23=1,BM23&lt;&gt;""),'基本情報（情報連携シート）'!$F$64,IF(AND(BK23=2,BL23=1,BM23&lt;&gt;""),'基本情報（情報連携シート）'!$F$65,""))</f>
        <v/>
      </c>
      <c r="BP23" s="541">
        <f>IFERROR(MATCH(A22,'基本情報（情報連携シート）'!$C$129:$C$132,0),0)</f>
        <v>0</v>
      </c>
      <c r="BQ23" s="539">
        <f>COUNTIF(BP$17:BP23,BP23)</f>
        <v>4</v>
      </c>
      <c r="BR23" s="541" t="str">
        <f>IF(AND(BP23&lt;&gt;0,BQ23=1),INDEX('基本情報（情報連携シート）'!$D$129:$D$132,BP23),"")</f>
        <v/>
      </c>
      <c r="BS23" s="213"/>
    </row>
    <row r="24" spans="1:77" x14ac:dyDescent="0.15">
      <c r="A24" s="574"/>
      <c r="B24" s="575"/>
      <c r="C24" s="576"/>
      <c r="D24" s="580" t="str">
        <f>'本人旅行経路（情報連携シート）'!C17</f>
        <v/>
      </c>
      <c r="E24" s="581"/>
      <c r="F24" s="581"/>
      <c r="G24" s="582"/>
      <c r="H24" s="580" t="str">
        <f>'本人旅行経路（情報連携シート）'!C18</f>
        <v/>
      </c>
      <c r="I24" s="581"/>
      <c r="J24" s="581"/>
      <c r="K24" s="581"/>
      <c r="L24" s="588" t="str">
        <f>IF(D24&lt;&gt;"",IF('本人旅行経路（情報連携シート）'!E17="鉄道",'本人旅行経路（情報連携シート）'!G17,"0"),"")</f>
        <v/>
      </c>
      <c r="M24" s="589"/>
      <c r="N24" s="589"/>
      <c r="O24" s="589"/>
      <c r="P24" s="178"/>
      <c r="Q24" s="227" t="s">
        <v>421</v>
      </c>
      <c r="R24" s="228" t="s">
        <v>422</v>
      </c>
      <c r="S24" s="228" t="s">
        <v>423</v>
      </c>
      <c r="T24" s="228" t="s">
        <v>424</v>
      </c>
      <c r="U24" s="178"/>
      <c r="V24" s="588" t="str">
        <f>IF(D24&lt;&gt;"",'本人旅行経路（情報連携シート）'!I17,"")</f>
        <v/>
      </c>
      <c r="W24" s="589"/>
      <c r="X24" s="589"/>
      <c r="Y24" s="589"/>
      <c r="Z24" s="178"/>
      <c r="AA24" s="231" t="s">
        <v>428</v>
      </c>
      <c r="AB24" s="232" t="s">
        <v>161</v>
      </c>
      <c r="AC24" s="232"/>
      <c r="AD24" s="178"/>
      <c r="AE24" s="231" t="s">
        <v>431</v>
      </c>
      <c r="AF24" s="232" t="s">
        <v>432</v>
      </c>
      <c r="AG24" s="232" t="s">
        <v>434</v>
      </c>
      <c r="AH24" s="232" t="s">
        <v>436</v>
      </c>
      <c r="AI24" s="178"/>
      <c r="AJ24" s="223" t="s">
        <v>404</v>
      </c>
      <c r="AK24" s="302" t="str">
        <f>IF(D24="","",IF(OR('本人旅行経路（情報連携シート）'!E17="徒歩・その他の交通用具",'本人旅行経路（情報連携シート）'!E17="バス",'本人旅行経路（情報連携シート）'!E17="タクシー"),'本人旅行経路（情報連携シート）'!F17,"0"))</f>
        <v/>
      </c>
      <c r="AL24" s="224" t="s">
        <v>405</v>
      </c>
      <c r="AM24" s="178" t="s">
        <v>406</v>
      </c>
      <c r="AN24" s="624" t="str">
        <f>BN25</f>
        <v/>
      </c>
      <c r="AO24" s="625"/>
      <c r="AP24" s="625"/>
      <c r="AQ24" s="295" t="str">
        <f>IF(BM25&lt;&gt;"",1,"")</f>
        <v/>
      </c>
      <c r="AR24" s="178" t="s">
        <v>407</v>
      </c>
      <c r="AS24" s="611" t="str">
        <f>IF(BR25&lt;&gt;"",1,"")</f>
        <v/>
      </c>
      <c r="AT24" s="612"/>
      <c r="AU24" s="612"/>
      <c r="AV24" s="612"/>
      <c r="AW24" s="177" t="s">
        <v>408</v>
      </c>
      <c r="AX24" s="188" t="s">
        <v>414</v>
      </c>
      <c r="AY24" s="189"/>
      <c r="AZ24" s="189"/>
      <c r="BA24" s="189"/>
      <c r="BB24" s="189"/>
      <c r="BC24" s="161"/>
      <c r="BD24" s="712"/>
      <c r="BE24" s="713"/>
      <c r="BF24" s="713"/>
      <c r="BG24" s="713"/>
      <c r="BH24" s="714"/>
      <c r="BI24" s="161"/>
      <c r="BK24" s="541"/>
      <c r="BL24" s="540"/>
      <c r="BM24" s="541"/>
      <c r="BN24" s="540"/>
      <c r="BP24" s="541"/>
      <c r="BQ24" s="540"/>
      <c r="BR24" s="541"/>
      <c r="BS24" s="213"/>
    </row>
    <row r="25" spans="1:77" x14ac:dyDescent="0.15">
      <c r="A25" s="577"/>
      <c r="B25" s="578"/>
      <c r="C25" s="579"/>
      <c r="D25" s="583"/>
      <c r="E25" s="584"/>
      <c r="F25" s="584"/>
      <c r="G25" s="585"/>
      <c r="H25" s="583"/>
      <c r="I25" s="584"/>
      <c r="J25" s="584"/>
      <c r="K25" s="584"/>
      <c r="L25" s="588"/>
      <c r="M25" s="589"/>
      <c r="N25" s="589"/>
      <c r="O25" s="589"/>
      <c r="P25" s="178" t="s">
        <v>369</v>
      </c>
      <c r="Q25" s="588" t="str">
        <f>IF(D24&lt;&gt;"",IF('本人旅行経路（情報連携シート）'!E17="鉄道",SUM('本人旅行経路（情報連携シート）'!K17,'本人旅行経路（情報連携シート）'!M17,'本人旅行経路（情報連携シート）'!O17),"0"),"")</f>
        <v/>
      </c>
      <c r="R25" s="589"/>
      <c r="S25" s="589"/>
      <c r="T25" s="589"/>
      <c r="U25" s="178" t="s">
        <v>369</v>
      </c>
      <c r="V25" s="588"/>
      <c r="W25" s="589"/>
      <c r="X25" s="589"/>
      <c r="Y25" s="589"/>
      <c r="Z25" s="178" t="s">
        <v>369</v>
      </c>
      <c r="AA25" s="609" t="str">
        <f>IF(D24&lt;&gt;"",IF(OR('本人旅行経路（情報連携シート）'!E17="船",'本人旅行経路（情報連携シート）'!E17="飛行機",'本人旅行経路（情報連携シート）'!E17="ヘリ"),'本人旅行経路（情報連携シート）'!G17,"0"),"")</f>
        <v/>
      </c>
      <c r="AB25" s="610"/>
      <c r="AC25" s="610"/>
      <c r="AD25" s="179" t="s">
        <v>26</v>
      </c>
      <c r="AE25" s="609" t="str">
        <f>IF(D24&lt;&gt;"",IF('本人旅行経路（情報連携シート）'!E17="飛行機",SUM('本人旅行経路（情報連携シート）'!K17,'本人旅行経路（情報連携シート）'!Q17),IF('本人旅行経路（情報連携シート）'!E17="船",SUM('本人旅行経路（情報連携シート）'!M17,'本人旅行経路（情報連携シート）'!O17,'本人旅行経路（情報連携シート）'!Q17),IF('本人旅行経路（情報連携シート）'!E17="ヘリ",'本人旅行経路（情報連携シート）'!Q17,"0"))),"")</f>
        <v/>
      </c>
      <c r="AF25" s="610"/>
      <c r="AG25" s="610"/>
      <c r="AH25" s="610"/>
      <c r="AI25" s="179" t="s">
        <v>369</v>
      </c>
      <c r="AJ25" s="611" t="str">
        <f>IF(D24&lt;&gt;"",IF(OR('本人旅行経路（情報連携シート）'!E17="徒歩・その他の交通用具",'本人旅行経路（情報連携シート）'!E17="タクシー",'本人旅行経路（情報連携シート）'!E17="バス"),'本人旅行経路（情報連携シート）'!G17,"0"),"")</f>
        <v/>
      </c>
      <c r="AK25" s="612"/>
      <c r="AL25" s="612"/>
      <c r="AM25" s="179" t="s">
        <v>369</v>
      </c>
      <c r="AN25" s="613" t="str">
        <f>BM25</f>
        <v/>
      </c>
      <c r="AO25" s="614"/>
      <c r="AP25" s="614"/>
      <c r="AQ25" s="614"/>
      <c r="AR25" s="179" t="s">
        <v>369</v>
      </c>
      <c r="AS25" s="613" t="str">
        <f>BR25</f>
        <v/>
      </c>
      <c r="AT25" s="614"/>
      <c r="AU25" s="614"/>
      <c r="AV25" s="614"/>
      <c r="AW25" s="179" t="s">
        <v>369</v>
      </c>
      <c r="AX25" s="160"/>
      <c r="AY25" s="563" t="s">
        <v>415</v>
      </c>
      <c r="AZ25" s="563"/>
      <c r="BA25" s="695"/>
      <c r="BB25" s="695"/>
      <c r="BC25" s="161"/>
      <c r="BD25" s="712" t="str">
        <f>'本人旅行経路（情報連携シート）'!S9&amp;'本人旅行経路（情報連携シート）'!S11&amp;'本人旅行経路（情報連携シート）'!S13&amp;'本人旅行経路（情報連携シート）'!S15&amp;'本人旅行経路（情報連携シート）'!S17&amp;'本人旅行経路（情報連携シート）'!S19&amp;'本人旅行経路（情報連携シート）'!S21&amp;'本人旅行経路（情報連携シート）'!S23&amp;'本人旅行経路（情報連携シート）'!S25&amp;'本人旅行経路（情報連携シート）'!S27&amp;'本人旅行経路（情報連携シート）'!S29&amp;'本人旅行経路（情報連携シート）'!S31&amp;'本人旅行経路（情報連携シート）'!S33&amp;'本人旅行経路（情報連携シート）'!S35&amp;'本人旅行経路（情報連携シート）'!S37&amp;'本人旅行経路（情報連携シート）'!S39&amp;'本人旅行経路（情報連携シート）'!S41&amp;'本人旅行経路（情報連携シート）'!S43&amp;'家族旅行経路（情報連携シート）'!P9&amp;'家族旅行経路（情報連携シート）'!P11&amp;'家族旅行経路（情報連携シート）'!P13&amp;'家族旅行経路（情報連携シート）'!P15&amp;'家族旅行経路（情報連携シート）'!P17&amp;'家族旅行経路（情報連携シート）'!P19&amp;'家族旅行経路（情報連携シート）'!P21&amp;'家族旅行経路（情報連携シート）'!P23&amp;'家族旅行経路（情報連携シート）'!P25&amp;'家族旅行経路（情報連携シート）'!P27&amp;'家族旅行経路（情報連携シート）'!P29&amp;'家族旅行経路（情報連携シート）'!P31&amp;'家族旅行経路（情報連携シート）'!P33&amp;'家族旅行経路（情報連携シート）'!P35&amp;'家族旅行経路（情報連携シート）'!P37&amp;'家族旅行経路（情報連携シート）'!P39&amp;'家族旅行経路（情報連携シート）'!P41&amp;'家族旅行経路（情報連携シート）'!P43</f>
        <v/>
      </c>
      <c r="BE25" s="713"/>
      <c r="BF25" s="713"/>
      <c r="BG25" s="713"/>
      <c r="BH25" s="714"/>
      <c r="BI25" s="161"/>
      <c r="BK25" s="541">
        <f>IFERROR(MATCH(A24,'基本情報（情報連携シート）'!$C$125:$C$126,0),0)</f>
        <v>0</v>
      </c>
      <c r="BL25" s="539">
        <f>COUNTIF(BK$17:BK25,BK25)</f>
        <v>5</v>
      </c>
      <c r="BM25" s="541" t="str">
        <f>IF(AND(BK25&lt;&gt;0,BL25=1),INDEX('基本情報（情報連携シート）'!$D$125:$D$126,BK25),"")</f>
        <v/>
      </c>
      <c r="BN25" s="539" t="str">
        <f>IF(AND(BK25=1,BL25=1,BM25&lt;&gt;""),'基本情報（情報連携シート）'!$F$64,IF(AND(BK25=2,BL25=1,BM25&lt;&gt;""),'基本情報（情報連携シート）'!$F$65,""))</f>
        <v/>
      </c>
      <c r="BP25" s="541">
        <f>IFERROR(MATCH(A24,'基本情報（情報連携シート）'!$C$129:$C$132,0),0)</f>
        <v>0</v>
      </c>
      <c r="BQ25" s="539">
        <f>COUNTIF(BP$17:BP25,BP25)</f>
        <v>5</v>
      </c>
      <c r="BR25" s="541" t="str">
        <f>IF(AND(BP25&lt;&gt;0,BQ25=1),INDEX('基本情報（情報連携シート）'!$D$129:$D$132,BP25),"")</f>
        <v/>
      </c>
      <c r="BS25" s="213"/>
    </row>
    <row r="26" spans="1:77" x14ac:dyDescent="0.15">
      <c r="A26" s="574"/>
      <c r="B26" s="575"/>
      <c r="C26" s="576"/>
      <c r="D26" s="580" t="str">
        <f>'本人旅行経路（情報連携シート）'!C19</f>
        <v/>
      </c>
      <c r="E26" s="581"/>
      <c r="F26" s="581"/>
      <c r="G26" s="582"/>
      <c r="H26" s="580" t="str">
        <f>'本人旅行経路（情報連携シート）'!C20</f>
        <v/>
      </c>
      <c r="I26" s="581"/>
      <c r="J26" s="581"/>
      <c r="K26" s="581"/>
      <c r="L26" s="588" t="str">
        <f>IF(D26&lt;&gt;"",IF('本人旅行経路（情報連携シート）'!E19="鉄道",'本人旅行経路（情報連携シート）'!G19,"0"),"")</f>
        <v/>
      </c>
      <c r="M26" s="589"/>
      <c r="N26" s="589"/>
      <c r="O26" s="589"/>
      <c r="P26" s="178"/>
      <c r="Q26" s="227" t="s">
        <v>421</v>
      </c>
      <c r="R26" s="228" t="s">
        <v>422</v>
      </c>
      <c r="S26" s="228" t="s">
        <v>423</v>
      </c>
      <c r="T26" s="228" t="s">
        <v>424</v>
      </c>
      <c r="U26" s="178"/>
      <c r="V26" s="588" t="str">
        <f>IF(D26&lt;&gt;"",'本人旅行経路（情報連携シート）'!I19,"")</f>
        <v/>
      </c>
      <c r="W26" s="589"/>
      <c r="X26" s="589"/>
      <c r="Y26" s="589"/>
      <c r="Z26" s="178"/>
      <c r="AA26" s="231" t="s">
        <v>428</v>
      </c>
      <c r="AB26" s="232" t="s">
        <v>161</v>
      </c>
      <c r="AC26" s="232"/>
      <c r="AD26" s="178"/>
      <c r="AE26" s="231" t="s">
        <v>431</v>
      </c>
      <c r="AF26" s="232" t="s">
        <v>432</v>
      </c>
      <c r="AG26" s="232" t="s">
        <v>434</v>
      </c>
      <c r="AH26" s="232" t="s">
        <v>436</v>
      </c>
      <c r="AI26" s="178"/>
      <c r="AJ26" s="223" t="s">
        <v>404</v>
      </c>
      <c r="AK26" s="302" t="str">
        <f>IF(D26="","",IF(OR('本人旅行経路（情報連携シート）'!E19="徒歩・その他の交通用具",'本人旅行経路（情報連携シート）'!E19="バス",'本人旅行経路（情報連携シート）'!E19="タクシー"),'本人旅行経路（情報連携シート）'!F19,"0"))</f>
        <v/>
      </c>
      <c r="AL26" s="224" t="s">
        <v>405</v>
      </c>
      <c r="AM26" s="178" t="s">
        <v>406</v>
      </c>
      <c r="AN26" s="624" t="str">
        <f>BN27</f>
        <v/>
      </c>
      <c r="AO26" s="625"/>
      <c r="AP26" s="625"/>
      <c r="AQ26" s="295" t="str">
        <f>IF(BM27&lt;&gt;"",1,"")</f>
        <v/>
      </c>
      <c r="AR26" s="178" t="s">
        <v>407</v>
      </c>
      <c r="AS26" s="611" t="str">
        <f>IF(BR27&lt;&gt;"",1,"")</f>
        <v/>
      </c>
      <c r="AT26" s="612"/>
      <c r="AU26" s="612"/>
      <c r="AV26" s="612"/>
      <c r="AW26" s="177" t="s">
        <v>408</v>
      </c>
      <c r="AX26" s="160"/>
      <c r="AY26" s="563" t="s">
        <v>416</v>
      </c>
      <c r="AZ26" s="563"/>
      <c r="BA26" s="696">
        <f>COUNT('基本情報（情報連携シート）'!C136:C140)</f>
        <v>0</v>
      </c>
      <c r="BB26" s="696"/>
      <c r="BC26" s="161" t="s">
        <v>407</v>
      </c>
      <c r="BD26" s="712"/>
      <c r="BE26" s="713"/>
      <c r="BF26" s="713"/>
      <c r="BG26" s="713"/>
      <c r="BH26" s="714"/>
      <c r="BI26" s="161"/>
      <c r="BK26" s="541"/>
      <c r="BL26" s="540"/>
      <c r="BM26" s="541"/>
      <c r="BN26" s="540"/>
      <c r="BP26" s="541"/>
      <c r="BQ26" s="540"/>
      <c r="BR26" s="541"/>
      <c r="BS26" s="213"/>
    </row>
    <row r="27" spans="1:77" x14ac:dyDescent="0.15">
      <c r="A27" s="577"/>
      <c r="B27" s="578"/>
      <c r="C27" s="579"/>
      <c r="D27" s="583"/>
      <c r="E27" s="584"/>
      <c r="F27" s="584"/>
      <c r="G27" s="585"/>
      <c r="H27" s="583"/>
      <c r="I27" s="584"/>
      <c r="J27" s="584"/>
      <c r="K27" s="584"/>
      <c r="L27" s="588"/>
      <c r="M27" s="589"/>
      <c r="N27" s="589"/>
      <c r="O27" s="589"/>
      <c r="P27" s="178" t="s">
        <v>369</v>
      </c>
      <c r="Q27" s="588" t="str">
        <f>IF(D26&lt;&gt;"",IF('本人旅行経路（情報連携シート）'!E19="鉄道",SUM('本人旅行経路（情報連携シート）'!K19,'本人旅行経路（情報連携シート）'!M19,'本人旅行経路（情報連携シート）'!O19),"0"),"")</f>
        <v/>
      </c>
      <c r="R27" s="589"/>
      <c r="S27" s="589"/>
      <c r="T27" s="589"/>
      <c r="U27" s="178" t="s">
        <v>369</v>
      </c>
      <c r="V27" s="588"/>
      <c r="W27" s="589"/>
      <c r="X27" s="589"/>
      <c r="Y27" s="589"/>
      <c r="Z27" s="178" t="s">
        <v>369</v>
      </c>
      <c r="AA27" s="609" t="str">
        <f>IF(D26&lt;&gt;"",IF(OR('本人旅行経路（情報連携シート）'!E19="船",'本人旅行経路（情報連携シート）'!E19="飛行機",'本人旅行経路（情報連携シート）'!E19="ヘリ"),'本人旅行経路（情報連携シート）'!G19,"0"),"")</f>
        <v/>
      </c>
      <c r="AB27" s="610"/>
      <c r="AC27" s="610"/>
      <c r="AD27" s="179" t="s">
        <v>26</v>
      </c>
      <c r="AE27" s="609" t="str">
        <f>IF(D26&lt;&gt;"",IF('本人旅行経路（情報連携シート）'!E19="飛行機",SUM('本人旅行経路（情報連携シート）'!K19,'本人旅行経路（情報連携シート）'!Q19),IF('本人旅行経路（情報連携シート）'!E19="船",SUM('本人旅行経路（情報連携シート）'!M19,'本人旅行経路（情報連携シート）'!O19,'本人旅行経路（情報連携シート）'!Q19),IF('本人旅行経路（情報連携シート）'!E19="ヘリ",'本人旅行経路（情報連携シート）'!Q19,"0"))),"")</f>
        <v/>
      </c>
      <c r="AF27" s="610"/>
      <c r="AG27" s="610"/>
      <c r="AH27" s="610"/>
      <c r="AI27" s="179" t="s">
        <v>369</v>
      </c>
      <c r="AJ27" s="611" t="str">
        <f>IF(D26&lt;&gt;"",IF(OR('本人旅行経路（情報連携シート）'!E19="徒歩・その他の交通用具",'本人旅行経路（情報連携シート）'!E19="タクシー",'本人旅行経路（情報連携シート）'!E19="バス"),'本人旅行経路（情報連携シート）'!G19,"0"),"")</f>
        <v/>
      </c>
      <c r="AK27" s="612"/>
      <c r="AL27" s="612"/>
      <c r="AM27" s="179" t="s">
        <v>369</v>
      </c>
      <c r="AN27" s="613" t="str">
        <f>BM27</f>
        <v/>
      </c>
      <c r="AO27" s="614"/>
      <c r="AP27" s="614"/>
      <c r="AQ27" s="614"/>
      <c r="AR27" s="179" t="s">
        <v>369</v>
      </c>
      <c r="AS27" s="613" t="str">
        <f>BR27</f>
        <v/>
      </c>
      <c r="AT27" s="614"/>
      <c r="AU27" s="614"/>
      <c r="AV27" s="614"/>
      <c r="AW27" s="179" t="s">
        <v>369</v>
      </c>
      <c r="AX27" s="160"/>
      <c r="AY27" s="635">
        <f>SUM('基本情報（情報連携シート）'!D136,'基本情報（情報連携シート）'!D137,'基本情報（情報連携シート）'!D138,'基本情報（情報連携シート）'!D139,'基本情報（情報連携シート）'!D140)</f>
        <v>0</v>
      </c>
      <c r="AZ27" s="635"/>
      <c r="BA27" s="635"/>
      <c r="BB27" s="635"/>
      <c r="BC27" s="161" t="s">
        <v>369</v>
      </c>
      <c r="BD27" s="712"/>
      <c r="BE27" s="713"/>
      <c r="BF27" s="713"/>
      <c r="BG27" s="713"/>
      <c r="BH27" s="714"/>
      <c r="BI27" s="161"/>
      <c r="BK27" s="541">
        <f>IFERROR(MATCH(A26,'基本情報（情報連携シート）'!$C$125:$C$126,0),0)</f>
        <v>0</v>
      </c>
      <c r="BL27" s="539">
        <f>COUNTIF(BK$17:BK27,BK27)</f>
        <v>6</v>
      </c>
      <c r="BM27" s="541" t="str">
        <f>IF(AND(BK27&lt;&gt;0,BL27=1),INDEX('基本情報（情報連携シート）'!$D$125:$D$126,BK27),"")</f>
        <v/>
      </c>
      <c r="BN27" s="539" t="str">
        <f>IF(AND(BK27=1,BL27=1,BM27&lt;&gt;""),'基本情報（情報連携シート）'!$F$64,IF(AND(BK27=2,BL27=1,BM27&lt;&gt;""),'基本情報（情報連携シート）'!$F$65,""))</f>
        <v/>
      </c>
      <c r="BP27" s="541">
        <f>IFERROR(MATCH(A26,'基本情報（情報連携シート）'!$C$129:$C$132,0),0)</f>
        <v>0</v>
      </c>
      <c r="BQ27" s="539">
        <f>COUNTIF(BP$17:BP27,BP27)</f>
        <v>6</v>
      </c>
      <c r="BR27" s="541" t="str">
        <f>IF(AND(BP27&lt;&gt;0,BQ27=1),INDEX('基本情報（情報連携シート）'!$D$129:$D$132,BP27),"")</f>
        <v/>
      </c>
      <c r="BS27" s="213"/>
    </row>
    <row r="28" spans="1:77" x14ac:dyDescent="0.15">
      <c r="A28" s="574"/>
      <c r="B28" s="575"/>
      <c r="C28" s="576"/>
      <c r="D28" s="580" t="str">
        <f>'本人旅行経路（情報連携シート）'!C21</f>
        <v/>
      </c>
      <c r="E28" s="581"/>
      <c r="F28" s="581"/>
      <c r="G28" s="582"/>
      <c r="H28" s="580" t="str">
        <f>'本人旅行経路（情報連携シート）'!C22</f>
        <v/>
      </c>
      <c r="I28" s="581"/>
      <c r="J28" s="581"/>
      <c r="K28" s="581"/>
      <c r="L28" s="588" t="str">
        <f>IF(D28&lt;&gt;"",IF('本人旅行経路（情報連携シート）'!E21="鉄道",'本人旅行経路（情報連携シート）'!G21,"0"),"")</f>
        <v/>
      </c>
      <c r="M28" s="589"/>
      <c r="N28" s="589"/>
      <c r="O28" s="589"/>
      <c r="P28" s="178"/>
      <c r="Q28" s="227" t="s">
        <v>421</v>
      </c>
      <c r="R28" s="228" t="s">
        <v>422</v>
      </c>
      <c r="S28" s="228" t="s">
        <v>423</v>
      </c>
      <c r="T28" s="228" t="s">
        <v>424</v>
      </c>
      <c r="U28" s="178"/>
      <c r="V28" s="588" t="str">
        <f>IF(D28&lt;&gt;"",'本人旅行経路（情報連携シート）'!I21,"")</f>
        <v/>
      </c>
      <c r="W28" s="589"/>
      <c r="X28" s="589"/>
      <c r="Y28" s="589"/>
      <c r="Z28" s="178"/>
      <c r="AA28" s="231" t="s">
        <v>428</v>
      </c>
      <c r="AB28" s="232" t="s">
        <v>161</v>
      </c>
      <c r="AC28" s="232"/>
      <c r="AD28" s="178"/>
      <c r="AE28" s="231" t="s">
        <v>431</v>
      </c>
      <c r="AF28" s="232" t="s">
        <v>432</v>
      </c>
      <c r="AG28" s="232" t="s">
        <v>434</v>
      </c>
      <c r="AH28" s="232" t="s">
        <v>436</v>
      </c>
      <c r="AI28" s="178"/>
      <c r="AJ28" s="223" t="s">
        <v>404</v>
      </c>
      <c r="AK28" s="302" t="str">
        <f>IF(D28="","",IF(OR('本人旅行経路（情報連携シート）'!E21="徒歩・その他の交通用具",'本人旅行経路（情報連携シート）'!E21="バス",'本人旅行経路（情報連携シート）'!E21="タクシー"),'本人旅行経路（情報連携シート）'!F21,"0"))</f>
        <v/>
      </c>
      <c r="AL28" s="224" t="s">
        <v>405</v>
      </c>
      <c r="AM28" s="178" t="s">
        <v>406</v>
      </c>
      <c r="AN28" s="624" t="str">
        <f>BN29</f>
        <v/>
      </c>
      <c r="AO28" s="625"/>
      <c r="AP28" s="625"/>
      <c r="AQ28" s="295" t="str">
        <f>IF(BM29&lt;&gt;"",1,"")</f>
        <v/>
      </c>
      <c r="AR28" s="178" t="s">
        <v>407</v>
      </c>
      <c r="AS28" s="611" t="str">
        <f>IF(BR29&lt;&gt;"",1,"")</f>
        <v/>
      </c>
      <c r="AT28" s="612"/>
      <c r="AU28" s="612"/>
      <c r="AV28" s="612"/>
      <c r="AW28" s="177" t="s">
        <v>408</v>
      </c>
      <c r="AX28" s="188" t="s">
        <v>417</v>
      </c>
      <c r="AY28" s="189"/>
      <c r="AZ28" s="189"/>
      <c r="BA28" s="189"/>
      <c r="BB28" s="189"/>
      <c r="BC28" s="161"/>
      <c r="BD28" s="712"/>
      <c r="BE28" s="713"/>
      <c r="BF28" s="713"/>
      <c r="BG28" s="713"/>
      <c r="BH28" s="714"/>
      <c r="BI28" s="161"/>
      <c r="BK28" s="541"/>
      <c r="BL28" s="540"/>
      <c r="BM28" s="541"/>
      <c r="BN28" s="540"/>
      <c r="BP28" s="541"/>
      <c r="BQ28" s="540"/>
      <c r="BR28" s="541"/>
      <c r="BS28" s="213"/>
    </row>
    <row r="29" spans="1:77" x14ac:dyDescent="0.15">
      <c r="A29" s="577"/>
      <c r="B29" s="578"/>
      <c r="C29" s="579"/>
      <c r="D29" s="583"/>
      <c r="E29" s="584"/>
      <c r="F29" s="584"/>
      <c r="G29" s="585"/>
      <c r="H29" s="583"/>
      <c r="I29" s="584"/>
      <c r="J29" s="584"/>
      <c r="K29" s="584"/>
      <c r="L29" s="588"/>
      <c r="M29" s="589"/>
      <c r="N29" s="589"/>
      <c r="O29" s="589"/>
      <c r="P29" s="178" t="s">
        <v>369</v>
      </c>
      <c r="Q29" s="588" t="str">
        <f>IF(D28&lt;&gt;"",IF('本人旅行経路（情報連携シート）'!E21="鉄道",SUM('本人旅行経路（情報連携シート）'!K21,'本人旅行経路（情報連携シート）'!M21,'本人旅行経路（情報連携シート）'!O21),"0"),"")</f>
        <v/>
      </c>
      <c r="R29" s="589"/>
      <c r="S29" s="589"/>
      <c r="T29" s="589"/>
      <c r="U29" s="178" t="s">
        <v>369</v>
      </c>
      <c r="V29" s="588"/>
      <c r="W29" s="589"/>
      <c r="X29" s="589"/>
      <c r="Y29" s="589"/>
      <c r="Z29" s="178" t="s">
        <v>369</v>
      </c>
      <c r="AA29" s="609" t="str">
        <f>IF(D28&lt;&gt;"",IF(OR('本人旅行経路（情報連携シート）'!E21="船",'本人旅行経路（情報連携シート）'!E21="飛行機",'本人旅行経路（情報連携シート）'!E21="ヘリ"),'本人旅行経路（情報連携シート）'!G21,"0"),"")</f>
        <v/>
      </c>
      <c r="AB29" s="610"/>
      <c r="AC29" s="610"/>
      <c r="AD29" s="179" t="s">
        <v>26</v>
      </c>
      <c r="AE29" s="609" t="str">
        <f>IF(D28&lt;&gt;"",IF('本人旅行経路（情報連携シート）'!E21="飛行機",SUM('本人旅行経路（情報連携シート）'!K21,'本人旅行経路（情報連携シート）'!Q21),IF('本人旅行経路（情報連携シート）'!E21="船",SUM('本人旅行経路（情報連携シート）'!M21,'本人旅行経路（情報連携シート）'!O21,'本人旅行経路（情報連携シート）'!Q21),IF('本人旅行経路（情報連携シート）'!E21="ヘリ",'本人旅行経路（情報連携シート）'!Q21,"0"))),"")</f>
        <v/>
      </c>
      <c r="AF29" s="610"/>
      <c r="AG29" s="610"/>
      <c r="AH29" s="610"/>
      <c r="AI29" s="179" t="s">
        <v>369</v>
      </c>
      <c r="AJ29" s="611" t="str">
        <f>IF(D28&lt;&gt;"",IF(OR('本人旅行経路（情報連携シート）'!E21="徒歩・その他の交通用具",'本人旅行経路（情報連携シート）'!E21="タクシー",'本人旅行経路（情報連携シート）'!E21="バス"),'本人旅行経路（情報連携シート）'!G21,"0"),"")</f>
        <v/>
      </c>
      <c r="AK29" s="612"/>
      <c r="AL29" s="612"/>
      <c r="AM29" s="179" t="s">
        <v>369</v>
      </c>
      <c r="AN29" s="613" t="str">
        <f>BM29</f>
        <v/>
      </c>
      <c r="AO29" s="614"/>
      <c r="AP29" s="614"/>
      <c r="AQ29" s="614"/>
      <c r="AR29" s="179" t="s">
        <v>369</v>
      </c>
      <c r="AS29" s="613" t="str">
        <f>BR29</f>
        <v/>
      </c>
      <c r="AT29" s="614"/>
      <c r="AU29" s="614"/>
      <c r="AV29" s="614"/>
      <c r="AW29" s="179" t="s">
        <v>369</v>
      </c>
      <c r="AX29" s="160"/>
      <c r="AY29" s="165"/>
      <c r="AZ29" s="165"/>
      <c r="BA29" s="696">
        <f>COUNT('基本情報（情報連携シート）'!E136:E140)</f>
        <v>0</v>
      </c>
      <c r="BB29" s="696"/>
      <c r="BC29" s="161" t="s">
        <v>407</v>
      </c>
      <c r="BD29" s="700" t="str">
        <f>IF('基本情報（情報連携シート）'!C115&lt;&gt;"",'基本情報（情報連携シート）'!C115,"")</f>
        <v/>
      </c>
      <c r="BE29" s="701"/>
      <c r="BF29" s="701"/>
      <c r="BG29" s="701"/>
      <c r="BH29" s="702"/>
      <c r="BI29" s="161"/>
      <c r="BK29" s="541">
        <f>IFERROR(MATCH(A28,'基本情報（情報連携シート）'!$C$125:$C$126,0),0)</f>
        <v>0</v>
      </c>
      <c r="BL29" s="539">
        <f>COUNTIF(BK$17:BK29,BK29)</f>
        <v>7</v>
      </c>
      <c r="BM29" s="541" t="str">
        <f>IF(AND(BK29&lt;&gt;0,BL29=1),INDEX('基本情報（情報連携シート）'!$D$125:$D$126,BK29),"")</f>
        <v/>
      </c>
      <c r="BN29" s="539" t="str">
        <f>IF(AND(BK29=1,BL29=1,BM29&lt;&gt;""),'基本情報（情報連携シート）'!$F$64,IF(AND(BK29=2,BL29=1,BM29&lt;&gt;""),'基本情報（情報連携シート）'!$F$65,""))</f>
        <v/>
      </c>
      <c r="BP29" s="541">
        <f>IFERROR(MATCH(A28,'基本情報（情報連携シート）'!$C$129:$C$132,0),0)</f>
        <v>0</v>
      </c>
      <c r="BQ29" s="539">
        <f>COUNTIF(BP$17:BP29,BP29)</f>
        <v>7</v>
      </c>
      <c r="BR29" s="541" t="str">
        <f>IF(AND(BP29&lt;&gt;0,BQ29=1),INDEX('基本情報（情報連携シート）'!$D$129:$D$132,BP29),"")</f>
        <v/>
      </c>
      <c r="BS29" s="213"/>
    </row>
    <row r="30" spans="1:77" x14ac:dyDescent="0.15">
      <c r="A30" s="574"/>
      <c r="B30" s="575"/>
      <c r="C30" s="576"/>
      <c r="D30" s="580" t="str">
        <f>'本人旅行経路（情報連携シート）'!C23</f>
        <v/>
      </c>
      <c r="E30" s="581"/>
      <c r="F30" s="581"/>
      <c r="G30" s="582"/>
      <c r="H30" s="580" t="str">
        <f>'本人旅行経路（情報連携シート）'!C24</f>
        <v/>
      </c>
      <c r="I30" s="581"/>
      <c r="J30" s="581"/>
      <c r="K30" s="581"/>
      <c r="L30" s="588" t="str">
        <f>IF(D30&lt;&gt;"",IF('本人旅行経路（情報連携シート）'!E23="鉄道",'本人旅行経路（情報連携シート）'!G23,"0"),"")</f>
        <v/>
      </c>
      <c r="M30" s="589"/>
      <c r="N30" s="589"/>
      <c r="O30" s="589"/>
      <c r="P30" s="178"/>
      <c r="Q30" s="227" t="s">
        <v>421</v>
      </c>
      <c r="R30" s="228" t="s">
        <v>422</v>
      </c>
      <c r="S30" s="228" t="s">
        <v>423</v>
      </c>
      <c r="T30" s="228" t="s">
        <v>424</v>
      </c>
      <c r="U30" s="178"/>
      <c r="V30" s="588" t="str">
        <f>IF(D30&lt;&gt;"",'本人旅行経路（情報連携シート）'!I23,"")</f>
        <v/>
      </c>
      <c r="W30" s="589"/>
      <c r="X30" s="589"/>
      <c r="Y30" s="589"/>
      <c r="Z30" s="178"/>
      <c r="AA30" s="231" t="s">
        <v>428</v>
      </c>
      <c r="AB30" s="232" t="s">
        <v>161</v>
      </c>
      <c r="AC30" s="232"/>
      <c r="AD30" s="178"/>
      <c r="AE30" s="231" t="s">
        <v>431</v>
      </c>
      <c r="AF30" s="232" t="s">
        <v>432</v>
      </c>
      <c r="AG30" s="232" t="s">
        <v>434</v>
      </c>
      <c r="AH30" s="232" t="s">
        <v>436</v>
      </c>
      <c r="AI30" s="178"/>
      <c r="AJ30" s="223" t="s">
        <v>404</v>
      </c>
      <c r="AK30" s="302" t="str">
        <f>IF(D30="","",IF(OR('本人旅行経路（情報連携シート）'!E23="徒歩・その他の交通用具",'本人旅行経路（情報連携シート）'!E23="バス",'本人旅行経路（情報連携シート）'!E23="タクシー"),'本人旅行経路（情報連携シート）'!F23,"0"))</f>
        <v/>
      </c>
      <c r="AL30" s="224" t="s">
        <v>405</v>
      </c>
      <c r="AM30" s="178" t="s">
        <v>406</v>
      </c>
      <c r="AN30" s="624" t="str">
        <f>BN31</f>
        <v/>
      </c>
      <c r="AO30" s="625"/>
      <c r="AP30" s="625"/>
      <c r="AQ30" s="295" t="str">
        <f>IF(BM31&lt;&gt;"",1,"")</f>
        <v/>
      </c>
      <c r="AR30" s="178" t="s">
        <v>407</v>
      </c>
      <c r="AS30" s="611" t="str">
        <f>IF(BR31&lt;&gt;"",1,"")</f>
        <v/>
      </c>
      <c r="AT30" s="612"/>
      <c r="AU30" s="612"/>
      <c r="AV30" s="612"/>
      <c r="AW30" s="177" t="s">
        <v>408</v>
      </c>
      <c r="AX30" s="160"/>
      <c r="AY30" s="635">
        <f>SUM('基本情報（情報連携シート）'!E136,'基本情報（情報連携シート）'!E137,'基本情報（情報連携シート）'!E138,'基本情報（情報連携シート）'!E139,'基本情報（情報連携シート）'!E140)</f>
        <v>0</v>
      </c>
      <c r="AZ30" s="635"/>
      <c r="BA30" s="635"/>
      <c r="BB30" s="635"/>
      <c r="BC30" s="161" t="s">
        <v>369</v>
      </c>
      <c r="BD30" s="700"/>
      <c r="BE30" s="701"/>
      <c r="BF30" s="701"/>
      <c r="BG30" s="701"/>
      <c r="BH30" s="702"/>
      <c r="BI30" s="161"/>
      <c r="BK30" s="541"/>
      <c r="BL30" s="540"/>
      <c r="BM30" s="541"/>
      <c r="BN30" s="540"/>
      <c r="BP30" s="541"/>
      <c r="BQ30" s="540"/>
      <c r="BR30" s="541"/>
      <c r="BS30" s="213"/>
    </row>
    <row r="31" spans="1:77" x14ac:dyDescent="0.15">
      <c r="A31" s="577"/>
      <c r="B31" s="578"/>
      <c r="C31" s="579"/>
      <c r="D31" s="583"/>
      <c r="E31" s="584"/>
      <c r="F31" s="584"/>
      <c r="G31" s="585"/>
      <c r="H31" s="583"/>
      <c r="I31" s="584"/>
      <c r="J31" s="584"/>
      <c r="K31" s="584"/>
      <c r="L31" s="588"/>
      <c r="M31" s="589"/>
      <c r="N31" s="589"/>
      <c r="O31" s="589"/>
      <c r="P31" s="178" t="s">
        <v>369</v>
      </c>
      <c r="Q31" s="588" t="str">
        <f>IF(D30&lt;&gt;"",IF('本人旅行経路（情報連携シート）'!E23="鉄道",SUM('本人旅行経路（情報連携シート）'!K23,'本人旅行経路（情報連携シート）'!M23,'本人旅行経路（情報連携シート）'!O23),"0"),"")</f>
        <v/>
      </c>
      <c r="R31" s="589"/>
      <c r="S31" s="589"/>
      <c r="T31" s="589"/>
      <c r="U31" s="178" t="s">
        <v>369</v>
      </c>
      <c r="V31" s="588"/>
      <c r="W31" s="589"/>
      <c r="X31" s="589"/>
      <c r="Y31" s="589"/>
      <c r="Z31" s="178" t="s">
        <v>369</v>
      </c>
      <c r="AA31" s="609" t="str">
        <f>IF(D30&lt;&gt;"",IF(OR('本人旅行経路（情報連携シート）'!E23="船",'本人旅行経路（情報連携シート）'!E23="飛行機",'本人旅行経路（情報連携シート）'!E23="ヘリ"),'本人旅行経路（情報連携シート）'!G23,"0"),"")</f>
        <v/>
      </c>
      <c r="AB31" s="610"/>
      <c r="AC31" s="610"/>
      <c r="AD31" s="179" t="s">
        <v>26</v>
      </c>
      <c r="AE31" s="609" t="str">
        <f>IF(D30&lt;&gt;"",IF('本人旅行経路（情報連携シート）'!E23="飛行機",SUM('本人旅行経路（情報連携シート）'!K23,'本人旅行経路（情報連携シート）'!Q23),IF('本人旅行経路（情報連携シート）'!E23="船",SUM('本人旅行経路（情報連携シート）'!M23,'本人旅行経路（情報連携シート）'!O23,'本人旅行経路（情報連携シート）'!Q23),IF('本人旅行経路（情報連携シート）'!E23="ヘリ",'本人旅行経路（情報連携シート）'!Q23,"0"))),"")</f>
        <v/>
      </c>
      <c r="AF31" s="610"/>
      <c r="AG31" s="610"/>
      <c r="AH31" s="610"/>
      <c r="AI31" s="179" t="s">
        <v>369</v>
      </c>
      <c r="AJ31" s="611" t="str">
        <f>IF(D30&lt;&gt;"",IF(OR('本人旅行経路（情報連携シート）'!E23="徒歩・その他の交通用具",'本人旅行経路（情報連携シート）'!E23="タクシー",'本人旅行経路（情報連携シート）'!E23="バス"),'本人旅行経路（情報連携シート）'!G23,"0"),"")</f>
        <v/>
      </c>
      <c r="AK31" s="612"/>
      <c r="AL31" s="612"/>
      <c r="AM31" s="179" t="s">
        <v>369</v>
      </c>
      <c r="AN31" s="613" t="str">
        <f>BM31</f>
        <v/>
      </c>
      <c r="AO31" s="614"/>
      <c r="AP31" s="614"/>
      <c r="AQ31" s="614"/>
      <c r="AR31" s="179" t="s">
        <v>369</v>
      </c>
      <c r="AS31" s="613" t="str">
        <f>BR31</f>
        <v/>
      </c>
      <c r="AT31" s="614"/>
      <c r="AU31" s="614"/>
      <c r="AV31" s="614"/>
      <c r="AW31" s="179" t="s">
        <v>369</v>
      </c>
      <c r="AX31" s="160" t="s">
        <v>418</v>
      </c>
      <c r="BC31" s="161"/>
      <c r="BD31" s="700"/>
      <c r="BE31" s="701"/>
      <c r="BF31" s="701"/>
      <c r="BG31" s="701"/>
      <c r="BH31" s="702"/>
      <c r="BI31" s="161"/>
      <c r="BK31" s="541">
        <f>IFERROR(MATCH(A30,'基本情報（情報連携シート）'!$C$125:$C$126,0),0)</f>
        <v>0</v>
      </c>
      <c r="BL31" s="539">
        <f>COUNTIF(BK$17:BK31,BK31)</f>
        <v>8</v>
      </c>
      <c r="BM31" s="541" t="str">
        <f>IF(AND(BK31&lt;&gt;0,BL31=1),INDEX('基本情報（情報連携シート）'!$D$125:$D$126,BK31),"")</f>
        <v/>
      </c>
      <c r="BN31" s="539" t="str">
        <f>IF(AND(BK31=1,BL31=1,BM31&lt;&gt;""),'基本情報（情報連携シート）'!$F$64,IF(AND(BK31=2,BL31=1,BM31&lt;&gt;""),'基本情報（情報連携シート）'!$F$65,""))</f>
        <v/>
      </c>
      <c r="BP31" s="541">
        <f>IFERROR(MATCH(A30,'基本情報（情報連携シート）'!$C$129:$C$132,0),0)</f>
        <v>0</v>
      </c>
      <c r="BQ31" s="539">
        <f>COUNTIF(BP$17:BP31,BP31)</f>
        <v>8</v>
      </c>
      <c r="BR31" s="541" t="str">
        <f>IF(AND(BP31&lt;&gt;0,BQ31=1),INDEX('基本情報（情報連携シート）'!$D$129:$D$132,BP31),"")</f>
        <v/>
      </c>
      <c r="BS31" s="213"/>
    </row>
    <row r="32" spans="1:77" x14ac:dyDescent="0.15">
      <c r="A32" s="574"/>
      <c r="B32" s="575"/>
      <c r="C32" s="576"/>
      <c r="D32" s="580" t="str">
        <f>'本人旅行経路（情報連携シート）'!C25</f>
        <v/>
      </c>
      <c r="E32" s="581"/>
      <c r="F32" s="581"/>
      <c r="G32" s="582"/>
      <c r="H32" s="580" t="str">
        <f>'本人旅行経路（情報連携シート）'!C26</f>
        <v/>
      </c>
      <c r="I32" s="581"/>
      <c r="J32" s="581"/>
      <c r="K32" s="581"/>
      <c r="L32" s="588" t="str">
        <f>IF(D32&lt;&gt;"",IF('本人旅行経路（情報連携シート）'!E25="鉄道",'本人旅行経路（情報連携シート）'!G25,"0"),"")</f>
        <v/>
      </c>
      <c r="M32" s="589"/>
      <c r="N32" s="589"/>
      <c r="O32" s="589"/>
      <c r="P32" s="178"/>
      <c r="Q32" s="227" t="s">
        <v>421</v>
      </c>
      <c r="R32" s="228" t="s">
        <v>422</v>
      </c>
      <c r="S32" s="228" t="s">
        <v>423</v>
      </c>
      <c r="T32" s="228" t="s">
        <v>424</v>
      </c>
      <c r="U32" s="178"/>
      <c r="V32" s="588" t="str">
        <f>IF(D32&lt;&gt;"",'本人旅行経路（情報連携シート）'!I25,"")</f>
        <v/>
      </c>
      <c r="W32" s="589"/>
      <c r="X32" s="589"/>
      <c r="Y32" s="589"/>
      <c r="Z32" s="178"/>
      <c r="AA32" s="231" t="s">
        <v>428</v>
      </c>
      <c r="AB32" s="232" t="s">
        <v>161</v>
      </c>
      <c r="AC32" s="232"/>
      <c r="AD32" s="178"/>
      <c r="AE32" s="231" t="s">
        <v>431</v>
      </c>
      <c r="AF32" s="232" t="s">
        <v>432</v>
      </c>
      <c r="AG32" s="232" t="s">
        <v>434</v>
      </c>
      <c r="AH32" s="232" t="s">
        <v>436</v>
      </c>
      <c r="AI32" s="178"/>
      <c r="AJ32" s="223" t="s">
        <v>404</v>
      </c>
      <c r="AK32" s="302" t="str">
        <f>IF(D32="","",IF(OR('本人旅行経路（情報連携シート）'!E25="徒歩・その他の交通用具",'本人旅行経路（情報連携シート）'!E25="バス",'本人旅行経路（情報連携シート）'!E25="タクシー"),'本人旅行経路（情報連携シート）'!F25,"0"))</f>
        <v/>
      </c>
      <c r="AL32" s="224" t="s">
        <v>405</v>
      </c>
      <c r="AM32" s="178" t="s">
        <v>406</v>
      </c>
      <c r="AN32" s="624" t="str">
        <f>BN33</f>
        <v/>
      </c>
      <c r="AO32" s="625"/>
      <c r="AP32" s="625"/>
      <c r="AQ32" s="295" t="str">
        <f>IF(BM33&lt;&gt;"",1,"")</f>
        <v/>
      </c>
      <c r="AR32" s="178" t="s">
        <v>407</v>
      </c>
      <c r="AS32" s="611" t="str">
        <f>IF(BR33&lt;&gt;"",1,"")</f>
        <v/>
      </c>
      <c r="AT32" s="612"/>
      <c r="AU32" s="612"/>
      <c r="AV32" s="612"/>
      <c r="AW32" s="177" t="s">
        <v>408</v>
      </c>
      <c r="AX32" s="160"/>
      <c r="AY32" s="635">
        <f>SUM(AY27,AY30)</f>
        <v>0</v>
      </c>
      <c r="AZ32" s="635"/>
      <c r="BA32" s="635"/>
      <c r="BB32" s="635"/>
      <c r="BC32" s="161" t="s">
        <v>369</v>
      </c>
      <c r="BD32" s="700"/>
      <c r="BE32" s="701"/>
      <c r="BF32" s="701"/>
      <c r="BG32" s="701"/>
      <c r="BH32" s="702"/>
      <c r="BI32" s="161"/>
      <c r="BK32" s="541"/>
      <c r="BL32" s="540"/>
      <c r="BM32" s="541"/>
      <c r="BN32" s="540"/>
      <c r="BP32" s="541"/>
      <c r="BQ32" s="540"/>
      <c r="BR32" s="541"/>
      <c r="BS32" s="213"/>
    </row>
    <row r="33" spans="1:71" x14ac:dyDescent="0.15">
      <c r="A33" s="577"/>
      <c r="B33" s="578"/>
      <c r="C33" s="579"/>
      <c r="D33" s="583"/>
      <c r="E33" s="584"/>
      <c r="F33" s="584"/>
      <c r="G33" s="585"/>
      <c r="H33" s="583"/>
      <c r="I33" s="584"/>
      <c r="J33" s="584"/>
      <c r="K33" s="584"/>
      <c r="L33" s="588"/>
      <c r="M33" s="589"/>
      <c r="N33" s="589"/>
      <c r="O33" s="589"/>
      <c r="P33" s="178" t="s">
        <v>369</v>
      </c>
      <c r="Q33" s="588" t="str">
        <f>IF(D32&lt;&gt;"",IF('本人旅行経路（情報連携シート）'!E25="鉄道",SUM('本人旅行経路（情報連携シート）'!K25,'本人旅行経路（情報連携シート）'!M25,'本人旅行経路（情報連携シート）'!O25),"0"),"")</f>
        <v/>
      </c>
      <c r="R33" s="589"/>
      <c r="S33" s="589"/>
      <c r="T33" s="589"/>
      <c r="U33" s="178" t="s">
        <v>369</v>
      </c>
      <c r="V33" s="588"/>
      <c r="W33" s="589"/>
      <c r="X33" s="589"/>
      <c r="Y33" s="589"/>
      <c r="Z33" s="178" t="s">
        <v>369</v>
      </c>
      <c r="AA33" s="609" t="str">
        <f>IF(D32&lt;&gt;"",IF(OR('本人旅行経路（情報連携シート）'!E25="船",'本人旅行経路（情報連携シート）'!E25="飛行機",'本人旅行経路（情報連携シート）'!E25="ヘリ"),'本人旅行経路（情報連携シート）'!G25,"0"),"")</f>
        <v/>
      </c>
      <c r="AB33" s="610"/>
      <c r="AC33" s="610"/>
      <c r="AD33" s="179" t="s">
        <v>26</v>
      </c>
      <c r="AE33" s="609" t="str">
        <f>IF(D32&lt;&gt;"",IF('本人旅行経路（情報連携シート）'!E25="飛行機",SUM('本人旅行経路（情報連携シート）'!K25,'本人旅行経路（情報連携シート）'!Q25),IF('本人旅行経路（情報連携シート）'!E25="船",SUM('本人旅行経路（情報連携シート）'!M25,'本人旅行経路（情報連携シート）'!O25,'本人旅行経路（情報連携シート）'!Q25),IF('本人旅行経路（情報連携シート）'!E25="ヘリ",'本人旅行経路（情報連携シート）'!Q25,"0"))),"")</f>
        <v/>
      </c>
      <c r="AF33" s="610"/>
      <c r="AG33" s="610"/>
      <c r="AH33" s="610"/>
      <c r="AI33" s="179" t="s">
        <v>369</v>
      </c>
      <c r="AJ33" s="611" t="str">
        <f>IF(D32&lt;&gt;"",IF(OR('本人旅行経路（情報連携シート）'!E25="徒歩・その他の交通用具",'本人旅行経路（情報連携シート）'!E25="タクシー",'本人旅行経路（情報連携シート）'!E25="バス"),'本人旅行経路（情報連携シート）'!G25,"0"),"")</f>
        <v/>
      </c>
      <c r="AK33" s="612"/>
      <c r="AL33" s="612"/>
      <c r="AM33" s="179" t="s">
        <v>369</v>
      </c>
      <c r="AN33" s="588" t="str">
        <f>BM33</f>
        <v/>
      </c>
      <c r="AO33" s="589"/>
      <c r="AP33" s="589"/>
      <c r="AQ33" s="589"/>
      <c r="AR33" s="179" t="s">
        <v>369</v>
      </c>
      <c r="AS33" s="613" t="str">
        <f>BR33</f>
        <v/>
      </c>
      <c r="AT33" s="614"/>
      <c r="AU33" s="614"/>
      <c r="AV33" s="614"/>
      <c r="AW33" s="179" t="s">
        <v>369</v>
      </c>
      <c r="AX33" s="160"/>
      <c r="AY33" s="697"/>
      <c r="AZ33" s="697"/>
      <c r="BA33" s="697"/>
      <c r="BB33" s="697"/>
      <c r="BC33" s="161"/>
      <c r="BD33" s="700"/>
      <c r="BE33" s="701"/>
      <c r="BF33" s="701"/>
      <c r="BG33" s="701"/>
      <c r="BH33" s="702"/>
      <c r="BI33" s="161"/>
      <c r="BK33" s="541">
        <f>IFERROR(MATCH(A32,'基本情報（情報連携シート）'!$C$125:$C$126,0),0)</f>
        <v>0</v>
      </c>
      <c r="BL33" s="539">
        <f>COUNTIF(BK$17:BK33,BK33)</f>
        <v>9</v>
      </c>
      <c r="BM33" s="541" t="str">
        <f>IF(AND(BK33&lt;&gt;0,BL33=1),INDEX('基本情報（情報連携シート）'!$D$125:$D$126,BK33),"")</f>
        <v/>
      </c>
      <c r="BN33" s="539" t="str">
        <f>IF(AND(BK33=1,BL33=1,BM33&lt;&gt;""),'基本情報（情報連携シート）'!$F$64,IF(AND(BK33=2,BL33=1,BM33&lt;&gt;""),'基本情報（情報連携シート）'!$F$65,""))</f>
        <v/>
      </c>
      <c r="BP33" s="541">
        <f>IFERROR(MATCH(A32,'基本情報（情報連携シート）'!$C$129:$C$132,0),0)</f>
        <v>0</v>
      </c>
      <c r="BQ33" s="539">
        <f>COUNTIF(BP$17:BP33,BP33)</f>
        <v>9</v>
      </c>
      <c r="BR33" s="541" t="str">
        <f>IF(AND(BP33&lt;&gt;0,BQ33=1),INDEX('基本情報（情報連携シート）'!$D$129:$D$132,BP33),"")</f>
        <v/>
      </c>
      <c r="BS33" s="213"/>
    </row>
    <row r="34" spans="1:71" x14ac:dyDescent="0.15">
      <c r="A34" s="574"/>
      <c r="B34" s="575"/>
      <c r="C34" s="576"/>
      <c r="D34" s="580" t="str">
        <f>'本人旅行経路（情報連携シート）'!C27</f>
        <v/>
      </c>
      <c r="E34" s="581"/>
      <c r="F34" s="581"/>
      <c r="G34" s="582"/>
      <c r="H34" s="580" t="str">
        <f>'本人旅行経路（情報連携シート）'!C28</f>
        <v/>
      </c>
      <c r="I34" s="581"/>
      <c r="J34" s="581"/>
      <c r="K34" s="581"/>
      <c r="L34" s="588" t="str">
        <f>IF(D34&lt;&gt;"",IF('本人旅行経路（情報連携シート）'!E27="鉄道",'本人旅行経路（情報連携シート）'!G27,"0"),"")</f>
        <v/>
      </c>
      <c r="M34" s="589"/>
      <c r="N34" s="589"/>
      <c r="O34" s="589"/>
      <c r="P34" s="178"/>
      <c r="Q34" s="227" t="s">
        <v>421</v>
      </c>
      <c r="R34" s="228" t="s">
        <v>422</v>
      </c>
      <c r="S34" s="228" t="s">
        <v>423</v>
      </c>
      <c r="T34" s="228" t="s">
        <v>424</v>
      </c>
      <c r="U34" s="178"/>
      <c r="V34" s="588" t="str">
        <f>IF(D34&lt;&gt;"",'本人旅行経路（情報連携シート）'!I27,"")</f>
        <v/>
      </c>
      <c r="W34" s="589"/>
      <c r="X34" s="589"/>
      <c r="Y34" s="589"/>
      <c r="Z34" s="178"/>
      <c r="AA34" s="231" t="s">
        <v>428</v>
      </c>
      <c r="AB34" s="232" t="s">
        <v>161</v>
      </c>
      <c r="AC34" s="232"/>
      <c r="AD34" s="178"/>
      <c r="AE34" s="231" t="s">
        <v>431</v>
      </c>
      <c r="AF34" s="232" t="s">
        <v>432</v>
      </c>
      <c r="AG34" s="232" t="s">
        <v>434</v>
      </c>
      <c r="AH34" s="232" t="s">
        <v>436</v>
      </c>
      <c r="AI34" s="177"/>
      <c r="AJ34" s="223" t="s">
        <v>404</v>
      </c>
      <c r="AK34" s="302" t="str">
        <f>IF(D34="","",IF(OR('本人旅行経路（情報連携シート）'!E27="徒歩・その他の交通用具",'本人旅行経路（情報連携シート）'!E27="バス",'本人旅行経路（情報連携シート）'!E27="タクシー"),'本人旅行経路（情報連携シート）'!F27,"0"))</f>
        <v/>
      </c>
      <c r="AL34" s="224" t="s">
        <v>405</v>
      </c>
      <c r="AM34" s="178" t="s">
        <v>406</v>
      </c>
      <c r="AN34" s="624" t="str">
        <f>BN35</f>
        <v/>
      </c>
      <c r="AO34" s="625"/>
      <c r="AP34" s="625"/>
      <c r="AQ34" s="295" t="str">
        <f>IF(BM35&lt;&gt;"",1,"")</f>
        <v/>
      </c>
      <c r="AR34" s="178" t="s">
        <v>407</v>
      </c>
      <c r="AS34" s="611" t="str">
        <f>IF(BR35&lt;&gt;"",1,"")</f>
        <v/>
      </c>
      <c r="AT34" s="612"/>
      <c r="AU34" s="612"/>
      <c r="AV34" s="612"/>
      <c r="AW34" s="177" t="s">
        <v>408</v>
      </c>
      <c r="AX34" s="160"/>
      <c r="BC34" s="161"/>
      <c r="BD34" s="700"/>
      <c r="BE34" s="701"/>
      <c r="BF34" s="701"/>
      <c r="BG34" s="701"/>
      <c r="BH34" s="702"/>
      <c r="BI34" s="161"/>
      <c r="BK34" s="541"/>
      <c r="BL34" s="540"/>
      <c r="BM34" s="541"/>
      <c r="BN34" s="540"/>
      <c r="BP34" s="541"/>
      <c r="BQ34" s="540"/>
      <c r="BR34" s="541"/>
      <c r="BS34" s="213"/>
    </row>
    <row r="35" spans="1:71" x14ac:dyDescent="0.15">
      <c r="A35" s="627"/>
      <c r="B35" s="628"/>
      <c r="C35" s="629"/>
      <c r="D35" s="630"/>
      <c r="E35" s="631"/>
      <c r="F35" s="631"/>
      <c r="G35" s="632"/>
      <c r="H35" s="630"/>
      <c r="I35" s="631"/>
      <c r="J35" s="631"/>
      <c r="K35" s="631"/>
      <c r="L35" s="633"/>
      <c r="M35" s="634"/>
      <c r="N35" s="634"/>
      <c r="O35" s="634"/>
      <c r="P35" s="190" t="s">
        <v>369</v>
      </c>
      <c r="Q35" s="633" t="str">
        <f>IF(D34&lt;&gt;"",IF('本人旅行経路（情報連携シート）'!E27="鉄道",SUM('本人旅行経路（情報連携シート）'!K27,'本人旅行経路（情報連携シート）'!M27,'本人旅行経路（情報連携シート）'!Q27),"0"),"")</f>
        <v/>
      </c>
      <c r="R35" s="634"/>
      <c r="S35" s="634"/>
      <c r="T35" s="634"/>
      <c r="U35" s="190" t="s">
        <v>369</v>
      </c>
      <c r="V35" s="633"/>
      <c r="W35" s="634"/>
      <c r="X35" s="634"/>
      <c r="Y35" s="634"/>
      <c r="Z35" s="190" t="s">
        <v>369</v>
      </c>
      <c r="AA35" s="557" t="str">
        <f>IF(D34&lt;&gt;"",IF(OR('本人旅行経路（情報連携シート）'!E27="船",'本人旅行経路（情報連携シート）'!E27="飛行機",'本人旅行経路（情報連携シート）'!E27="ヘリ"),'本人旅行経路（情報連携シート）'!G27,"0"),"")</f>
        <v/>
      </c>
      <c r="AB35" s="558"/>
      <c r="AC35" s="558"/>
      <c r="AD35" s="166" t="s">
        <v>26</v>
      </c>
      <c r="AE35" s="557" t="str">
        <f>IF(D34&lt;&gt;"",IF('本人旅行経路（情報連携シート）'!E27="飛行機",SUM('本人旅行経路（情報連携シート）'!K27,'本人旅行経路（情報連携シート）'!Q27),IF('本人旅行経路（情報連携シート）'!E27="船",SUM('本人旅行経路（情報連携シート）'!M27,'本人旅行経路（情報連携シート）'!O27,'本人旅行経路（情報連携シート）'!Q27),IF('本人旅行経路（情報連携シート）'!E27="ヘリ",'本人旅行経路（情報連携シート）'!Q27,"0"))),"")</f>
        <v/>
      </c>
      <c r="AF35" s="558"/>
      <c r="AG35" s="558"/>
      <c r="AH35" s="558"/>
      <c r="AI35" s="166" t="s">
        <v>369</v>
      </c>
      <c r="AJ35" s="637" t="str">
        <f>IF(D34&lt;&gt;"",IF(OR('本人旅行経路（情報連携シート）'!E27="徒歩・その他の交通用具",'本人旅行経路（情報連携シート）'!E27="タクシー",'本人旅行経路（情報連携シート）'!E27="バス"),'本人旅行経路（情報連携シート）'!G27,"0"),"")</f>
        <v/>
      </c>
      <c r="AK35" s="638"/>
      <c r="AL35" s="638"/>
      <c r="AM35" s="166" t="s">
        <v>369</v>
      </c>
      <c r="AN35" s="639" t="str">
        <f>BM35</f>
        <v/>
      </c>
      <c r="AO35" s="640"/>
      <c r="AP35" s="640"/>
      <c r="AQ35" s="640"/>
      <c r="AR35" s="166" t="s">
        <v>369</v>
      </c>
      <c r="AS35" s="639" t="str">
        <f>BR35</f>
        <v/>
      </c>
      <c r="AT35" s="640"/>
      <c r="AU35" s="640"/>
      <c r="AV35" s="640"/>
      <c r="AW35" s="166" t="s">
        <v>369</v>
      </c>
      <c r="AX35" s="167"/>
      <c r="AY35" s="636"/>
      <c r="AZ35" s="636"/>
      <c r="BA35" s="636"/>
      <c r="BB35" s="636"/>
      <c r="BC35" s="166"/>
      <c r="BD35" s="700"/>
      <c r="BE35" s="701"/>
      <c r="BF35" s="701"/>
      <c r="BG35" s="701"/>
      <c r="BH35" s="702"/>
      <c r="BI35" s="161"/>
      <c r="BK35" s="541">
        <f>IFERROR(MATCH(A34,'基本情報（情報連携シート）'!$C$125:$C$126,0),0)</f>
        <v>0</v>
      </c>
      <c r="BL35" s="539">
        <f>COUNTIF(BK$17:BK35,BK35)</f>
        <v>10</v>
      </c>
      <c r="BM35" s="541" t="str">
        <f>IF(AND(BK35&lt;&gt;0,BL35=1),INDEX('基本情報（情報連携シート）'!$D$125:$D$126,BK35),"")</f>
        <v/>
      </c>
      <c r="BN35" s="539" t="str">
        <f>IF(AND(BK35=1,BL35=1,BM35&lt;&gt;""),'基本情報（情報連携シート）'!$F$64,IF(AND(BK35=2,BL35=1,BM35&lt;&gt;""),'基本情報（情報連携シート）'!$F$65,""))</f>
        <v/>
      </c>
      <c r="BP35" s="541">
        <f>IFERROR(MATCH(A34,'基本情報（情報連携シート）'!$C$129:$C$132,0),0)</f>
        <v>0</v>
      </c>
      <c r="BQ35" s="539">
        <f>COUNTIF(BP$17:BP35,BP35)</f>
        <v>10</v>
      </c>
      <c r="BR35" s="541" t="str">
        <f>IF(AND(BP35&lt;&gt;0,BQ35=1),INDEX('基本情報（情報連携シート）'!$D$129:$D$132,BP35),"")</f>
        <v/>
      </c>
      <c r="BS35" s="213"/>
    </row>
    <row r="36" spans="1:71" x14ac:dyDescent="0.15">
      <c r="A36" s="641"/>
      <c r="B36" s="642"/>
      <c r="C36" s="643"/>
      <c r="D36" s="644"/>
      <c r="E36" s="645"/>
      <c r="F36" s="645"/>
      <c r="G36" s="646"/>
      <c r="H36" s="650" t="s">
        <v>3</v>
      </c>
      <c r="I36" s="651"/>
      <c r="J36" s="651"/>
      <c r="K36" s="651"/>
      <c r="L36" s="652">
        <f>SUM(L16,L18,L20,L22,L24,L26,L28,L30,L32,L34)</f>
        <v>0</v>
      </c>
      <c r="M36" s="653"/>
      <c r="N36" s="653"/>
      <c r="O36" s="653"/>
      <c r="P36" s="177"/>
      <c r="Q36" s="652">
        <f>SUM(Q17,Q19,Q21,Q23,Q25,Q27,Q29,Q31,Q33,Q35)</f>
        <v>0</v>
      </c>
      <c r="R36" s="653"/>
      <c r="S36" s="653"/>
      <c r="T36" s="653"/>
      <c r="U36" s="178"/>
      <c r="V36" s="655">
        <f>SUM(V16,V18,V20,V22,V24,V26,V28,V30,V32,V34)</f>
        <v>0</v>
      </c>
      <c r="W36" s="656"/>
      <c r="X36" s="656"/>
      <c r="Y36" s="656"/>
      <c r="Z36" s="177"/>
      <c r="AA36" s="657">
        <f>SUM(AA17,AA19,AA21,AA23,AA25,AA27,AA29,AA31,AA33,AA35)</f>
        <v>0</v>
      </c>
      <c r="AB36" s="658"/>
      <c r="AC36" s="658"/>
      <c r="AD36" s="178"/>
      <c r="AE36" s="657">
        <f>SUM(AE17,AE19,AE21,AE23,AE25,AE27,AE29,AE31,AE33,AE35)</f>
        <v>0</v>
      </c>
      <c r="AF36" s="658"/>
      <c r="AG36" s="658"/>
      <c r="AH36" s="658"/>
      <c r="AI36" s="177"/>
      <c r="AJ36" s="223" t="s">
        <v>404</v>
      </c>
      <c r="AK36" s="302" t="str">
        <f>IF(SUM(AK16,AK18,AK20,AK22,AK24,AK26,AK28,AK30,AK32,AK34)&gt;0,SUM(AK16,AK18,AK20,AK22,AK24,AK26,AK28,AK30,AK32,AK34),"")</f>
        <v/>
      </c>
      <c r="AL36" s="224" t="s">
        <v>405</v>
      </c>
      <c r="AM36" s="178" t="s">
        <v>406</v>
      </c>
      <c r="AN36" s="661">
        <f>SUM(AQ16,AQ18,AQ20,AQ22,AQ24,AQ26,AQ28,AQ30,AQ32,AQ34)</f>
        <v>0</v>
      </c>
      <c r="AO36" s="662"/>
      <c r="AP36" s="662"/>
      <c r="AQ36" s="662"/>
      <c r="AR36" s="178" t="s">
        <v>407</v>
      </c>
      <c r="AS36" s="667">
        <f>SUM(AS16,AS18,AS20,AS22,AS24,AS26,AS28,AS30,AS32,AS34)</f>
        <v>0</v>
      </c>
      <c r="AT36" s="668"/>
      <c r="AU36" s="668"/>
      <c r="AV36" s="668"/>
      <c r="AW36" s="177" t="s">
        <v>408</v>
      </c>
      <c r="AX36" s="156"/>
      <c r="AY36" s="157"/>
      <c r="AZ36" s="157"/>
      <c r="BA36" s="157"/>
      <c r="BB36" s="157"/>
      <c r="BC36" s="158"/>
      <c r="BD36" s="700"/>
      <c r="BE36" s="701"/>
      <c r="BF36" s="701"/>
      <c r="BG36" s="701"/>
      <c r="BH36" s="702"/>
      <c r="BI36" s="161"/>
      <c r="BK36" s="541"/>
      <c r="BL36" s="540"/>
      <c r="BM36" s="541"/>
      <c r="BN36" s="540"/>
      <c r="BP36" s="541"/>
      <c r="BQ36" s="540"/>
      <c r="BR36" s="541"/>
      <c r="BS36" s="213"/>
    </row>
    <row r="37" spans="1:71" x14ac:dyDescent="0.15">
      <c r="A37" s="548"/>
      <c r="B37" s="549"/>
      <c r="C37" s="561"/>
      <c r="D37" s="647"/>
      <c r="E37" s="648"/>
      <c r="F37" s="648"/>
      <c r="G37" s="649"/>
      <c r="H37" s="557"/>
      <c r="I37" s="558"/>
      <c r="J37" s="558"/>
      <c r="K37" s="558"/>
      <c r="L37" s="654"/>
      <c r="M37" s="626"/>
      <c r="N37" s="626"/>
      <c r="O37" s="626"/>
      <c r="P37" s="166" t="s">
        <v>369</v>
      </c>
      <c r="Q37" s="654"/>
      <c r="R37" s="626"/>
      <c r="S37" s="626"/>
      <c r="T37" s="626"/>
      <c r="U37" s="166" t="s">
        <v>369</v>
      </c>
      <c r="V37" s="654"/>
      <c r="W37" s="626"/>
      <c r="X37" s="626"/>
      <c r="Y37" s="626"/>
      <c r="Z37" s="166" t="s">
        <v>369</v>
      </c>
      <c r="AA37" s="659"/>
      <c r="AB37" s="660"/>
      <c r="AC37" s="660"/>
      <c r="AD37" s="166" t="s">
        <v>26</v>
      </c>
      <c r="AE37" s="659"/>
      <c r="AF37" s="660"/>
      <c r="AG37" s="660"/>
      <c r="AH37" s="660"/>
      <c r="AI37" s="166" t="s">
        <v>369</v>
      </c>
      <c r="AJ37" s="669">
        <f>SUM(AJ17,AJ19,AJ21,AJ23,AJ25,AJ27,AJ29,AJ31,AJ33,AJ35)</f>
        <v>0</v>
      </c>
      <c r="AK37" s="670"/>
      <c r="AL37" s="670"/>
      <c r="AM37" s="166" t="s">
        <v>369</v>
      </c>
      <c r="AN37" s="671">
        <f>SUM(AN17,AN19,AN21,AN23,AN25,AN27,AN29,AN31,AN33,AN35)</f>
        <v>0</v>
      </c>
      <c r="AO37" s="672"/>
      <c r="AP37" s="672"/>
      <c r="AQ37" s="672"/>
      <c r="AR37" s="166" t="s">
        <v>369</v>
      </c>
      <c r="AS37" s="673">
        <f>SUM(AS17,AS19,AS21,AS23,AS25,AS27,AS29,AS31,AS33,AS35)</f>
        <v>0</v>
      </c>
      <c r="AT37" s="674"/>
      <c r="AU37" s="674"/>
      <c r="AV37" s="674"/>
      <c r="AW37" s="166" t="s">
        <v>369</v>
      </c>
      <c r="AX37" s="167"/>
      <c r="AY37" s="636"/>
      <c r="AZ37" s="636"/>
      <c r="BA37" s="636"/>
      <c r="BB37" s="636"/>
      <c r="BC37" s="166"/>
      <c r="BD37" s="703"/>
      <c r="BE37" s="704"/>
      <c r="BF37" s="704"/>
      <c r="BG37" s="704"/>
      <c r="BH37" s="705"/>
      <c r="BI37" s="161"/>
    </row>
    <row r="38" spans="1:71" ht="15" customHeight="1" x14ac:dyDescent="0.15">
      <c r="A38" s="160"/>
      <c r="AS38" s="191"/>
      <c r="AT38" s="191"/>
      <c r="AU38" s="191"/>
      <c r="AV38" s="191"/>
      <c r="BI38" s="161"/>
    </row>
    <row r="39" spans="1:71" ht="22.9" customHeight="1" x14ac:dyDescent="0.15">
      <c r="A39" s="546"/>
      <c r="B39" s="547"/>
      <c r="C39" s="547"/>
      <c r="D39" s="547"/>
      <c r="E39" s="547"/>
      <c r="F39" s="547"/>
      <c r="G39" s="666"/>
      <c r="H39" s="686" t="s">
        <v>360</v>
      </c>
      <c r="I39" s="687"/>
      <c r="J39" s="688"/>
      <c r="K39" s="665" t="s">
        <v>205</v>
      </c>
      <c r="L39" s="547"/>
      <c r="M39" s="547"/>
      <c r="N39" s="547"/>
      <c r="O39" s="547"/>
      <c r="P39" s="666"/>
      <c r="Q39" s="547" t="s">
        <v>361</v>
      </c>
      <c r="R39" s="547"/>
      <c r="S39" s="547"/>
      <c r="T39" s="547"/>
      <c r="U39" s="547"/>
      <c r="V39" s="547"/>
      <c r="W39" s="665" t="s">
        <v>362</v>
      </c>
      <c r="X39" s="547"/>
      <c r="Y39" s="547"/>
      <c r="Z39" s="547"/>
      <c r="AA39" s="547"/>
      <c r="AB39" s="547"/>
      <c r="AC39" s="666"/>
      <c r="AD39" s="547" t="s">
        <v>363</v>
      </c>
      <c r="AE39" s="547"/>
      <c r="AF39" s="547"/>
      <c r="AG39" s="547"/>
      <c r="AH39" s="547"/>
      <c r="AI39" s="547"/>
      <c r="AJ39" s="547"/>
      <c r="AK39" s="679" t="s">
        <v>364</v>
      </c>
      <c r="AL39" s="680"/>
      <c r="AM39" s="680"/>
      <c r="AN39" s="680"/>
      <c r="AO39" s="680"/>
      <c r="AP39" s="681"/>
      <c r="AQ39" s="547" t="s">
        <v>365</v>
      </c>
      <c r="AR39" s="547"/>
      <c r="AS39" s="547"/>
      <c r="AT39" s="547"/>
      <c r="AU39" s="547"/>
      <c r="AV39" s="547"/>
      <c r="AW39" s="547"/>
      <c r="AX39" s="665" t="s">
        <v>366</v>
      </c>
      <c r="AY39" s="547"/>
      <c r="AZ39" s="547"/>
      <c r="BA39" s="547"/>
      <c r="BB39" s="547"/>
      <c r="BC39" s="666"/>
      <c r="BD39" s="547" t="s">
        <v>367</v>
      </c>
      <c r="BE39" s="547"/>
      <c r="BF39" s="547"/>
      <c r="BG39" s="547"/>
      <c r="BH39" s="560"/>
      <c r="BI39" s="161"/>
    </row>
    <row r="40" spans="1:71" ht="22.9" customHeight="1" x14ac:dyDescent="0.15">
      <c r="A40" s="548"/>
      <c r="B40" s="549"/>
      <c r="C40" s="549"/>
      <c r="D40" s="549"/>
      <c r="E40" s="549"/>
      <c r="F40" s="549"/>
      <c r="G40" s="685"/>
      <c r="H40" s="682">
        <f>COUNTA('基本情報（情報連携シート）'!D53:D57)</f>
        <v>0</v>
      </c>
      <c r="I40" s="682"/>
      <c r="J40" s="192" t="s">
        <v>368</v>
      </c>
      <c r="K40" s="683">
        <f>SUM(K41,K42,K43,K44,K45)</f>
        <v>0</v>
      </c>
      <c r="L40" s="684"/>
      <c r="M40" s="684"/>
      <c r="N40" s="684"/>
      <c r="O40" s="684"/>
      <c r="P40" s="193" t="s">
        <v>369</v>
      </c>
      <c r="Q40" s="664">
        <f>SUM(Q41,Q42,Q43,Q44,Q45)</f>
        <v>0</v>
      </c>
      <c r="R40" s="664"/>
      <c r="S40" s="664"/>
      <c r="T40" s="664"/>
      <c r="U40" s="664"/>
      <c r="V40" s="192" t="s">
        <v>369</v>
      </c>
      <c r="W40" s="663">
        <f>SUM(W41,W42,W43,W44,W45)</f>
        <v>0</v>
      </c>
      <c r="X40" s="664"/>
      <c r="Y40" s="664"/>
      <c r="Z40" s="664"/>
      <c r="AA40" s="664"/>
      <c r="AB40" s="664"/>
      <c r="AC40" s="193" t="s">
        <v>369</v>
      </c>
      <c r="AD40" s="664">
        <f>SUM(AD41,AD42,AD43,AD44,AD45)</f>
        <v>0</v>
      </c>
      <c r="AE40" s="664"/>
      <c r="AF40" s="664"/>
      <c r="AG40" s="664"/>
      <c r="AH40" s="664"/>
      <c r="AI40" s="664"/>
      <c r="AJ40" s="192" t="s">
        <v>369</v>
      </c>
      <c r="AK40" s="663">
        <f>SUM(AK41,AK42,AK43,AK44,AK45)</f>
        <v>0</v>
      </c>
      <c r="AL40" s="664"/>
      <c r="AM40" s="664"/>
      <c r="AN40" s="664"/>
      <c r="AO40" s="664"/>
      <c r="AP40" s="193" t="s">
        <v>369</v>
      </c>
      <c r="AQ40" s="664">
        <f>SUM(AQ41,AQ42,AQ43,AQ44,AQ45)</f>
        <v>0</v>
      </c>
      <c r="AR40" s="664"/>
      <c r="AS40" s="664"/>
      <c r="AT40" s="664"/>
      <c r="AU40" s="664"/>
      <c r="AV40" s="664"/>
      <c r="AW40" s="192" t="s">
        <v>369</v>
      </c>
      <c r="AX40" s="663">
        <f>SUM(AX41,AX42,AX43,AX44,AX45)</f>
        <v>0</v>
      </c>
      <c r="AY40" s="664"/>
      <c r="AZ40" s="664"/>
      <c r="BA40" s="664"/>
      <c r="BB40" s="664"/>
      <c r="BC40" s="193" t="s">
        <v>369</v>
      </c>
      <c r="BD40" s="664">
        <f>SUM(K40,Q40,W40,AD40,AK40,AQ40,AX40)</f>
        <v>0</v>
      </c>
      <c r="BE40" s="664"/>
      <c r="BF40" s="664"/>
      <c r="BG40" s="664"/>
      <c r="BH40" s="190" t="s">
        <v>369</v>
      </c>
      <c r="BI40" s="161"/>
    </row>
    <row r="41" spans="1:71" x14ac:dyDescent="0.15">
      <c r="A41" s="546" t="s">
        <v>370</v>
      </c>
      <c r="B41" s="547"/>
      <c r="C41" s="560"/>
      <c r="D41" s="595" t="s">
        <v>314</v>
      </c>
      <c r="E41" s="593"/>
      <c r="F41" s="593"/>
      <c r="G41" s="675"/>
      <c r="H41" s="676"/>
      <c r="I41" s="677"/>
      <c r="J41" s="678"/>
      <c r="K41" s="691">
        <f>SUMIF('家族旅行経路（情報連携シート）'!$E$9:$E$44,"鉄道",'家族旅行経路（情報連携シート）'!F$9:F$44)</f>
        <v>0</v>
      </c>
      <c r="L41" s="692"/>
      <c r="M41" s="692"/>
      <c r="N41" s="692"/>
      <c r="O41" s="692"/>
      <c r="P41" s="193" t="s">
        <v>369</v>
      </c>
      <c r="Q41" s="689">
        <f>SUMIF('家族旅行経路（情報連携シート）'!$E$9:$E$44,"船",'家族旅行経路（情報連携シート）'!F$9:F$44)</f>
        <v>0</v>
      </c>
      <c r="R41" s="690"/>
      <c r="S41" s="690"/>
      <c r="T41" s="690"/>
      <c r="U41" s="690"/>
      <c r="V41" s="192" t="s">
        <v>369</v>
      </c>
      <c r="W41" s="689">
        <f>SUM(SUMIF('家族旅行経路（情報連携シート）'!$E$9:$E$44,"飛行機",'家族旅行経路（情報連携シート）'!F$9:F$44),SUMIF('家族旅行経路（情報連携シート）'!$E$9:$E$44,"ヘリ",'家族旅行経路（情報連携シート）'!F$9:F$44))</f>
        <v>0</v>
      </c>
      <c r="X41" s="690"/>
      <c r="Y41" s="690"/>
      <c r="Z41" s="690"/>
      <c r="AA41" s="690"/>
      <c r="AB41" s="690"/>
      <c r="AC41" s="193" t="s">
        <v>369</v>
      </c>
      <c r="AD41" s="689">
        <f>SUM(SUMIF('家族旅行経路（情報連携シート）'!$E$9:$E$44,"徒歩・その他の交通用具",'家族旅行経路（情報連携シート）'!F$9:F$44),SUMIF('家族旅行経路（情報連携シート）'!$E$9:$E$44,"タクシー",'家族旅行経路（情報連携シート）'!F$9:F$44),SUMIF('家族旅行経路（情報連携シート）'!$E$9:$E$44,"バス",'家族旅行経路（情報連携シート）'!F$9:F$44))</f>
        <v>0</v>
      </c>
      <c r="AE41" s="690"/>
      <c r="AF41" s="690"/>
      <c r="AG41" s="690"/>
      <c r="AH41" s="690"/>
      <c r="AI41" s="690"/>
      <c r="AJ41" s="192" t="s">
        <v>369</v>
      </c>
      <c r="AK41" s="693">
        <f>SUM('基本情報（情報連携シート）'!F125:G125,'基本情報（情報連携シート）'!F126:G126)</f>
        <v>0</v>
      </c>
      <c r="AL41" s="694"/>
      <c r="AM41" s="694"/>
      <c r="AN41" s="694"/>
      <c r="AO41" s="694"/>
      <c r="AP41" s="193" t="s">
        <v>369</v>
      </c>
      <c r="AQ41" s="689">
        <f>SUM('基本情報（情報連携シート）'!F129:G129,'基本情報（情報連携シート）'!F130:G130,'基本情報（情報連携シート）'!F131:G131,'基本情報（情報連携シート）'!F132:G132)</f>
        <v>0</v>
      </c>
      <c r="AR41" s="690"/>
      <c r="AS41" s="690"/>
      <c r="AT41" s="690"/>
      <c r="AU41" s="690"/>
      <c r="AV41" s="690"/>
      <c r="AW41" s="192" t="s">
        <v>369</v>
      </c>
      <c r="AX41" s="689">
        <f>SUM('基本情報（情報連携シート）'!F136:G140)</f>
        <v>0</v>
      </c>
      <c r="AY41" s="690"/>
      <c r="AZ41" s="690"/>
      <c r="BA41" s="690"/>
      <c r="BB41" s="690"/>
      <c r="BC41" s="193" t="s">
        <v>369</v>
      </c>
      <c r="BD41" s="689">
        <f>SUM(K41,Q41,W41,AD41,AK41,AQ41,AX41)</f>
        <v>0</v>
      </c>
      <c r="BE41" s="690"/>
      <c r="BF41" s="690"/>
      <c r="BG41" s="690"/>
      <c r="BH41" s="190" t="s">
        <v>369</v>
      </c>
      <c r="BI41" s="161"/>
    </row>
    <row r="42" spans="1:71" x14ac:dyDescent="0.15">
      <c r="A42" s="562"/>
      <c r="B42" s="563"/>
      <c r="C42" s="564"/>
      <c r="D42" s="595" t="s">
        <v>302</v>
      </c>
      <c r="E42" s="593"/>
      <c r="F42" s="593"/>
      <c r="G42" s="675"/>
      <c r="H42" s="676"/>
      <c r="I42" s="677"/>
      <c r="J42" s="678"/>
      <c r="K42" s="691">
        <f>SUMIF('家族旅行経路（情報連携シート）'!$E$9:$E$44,"鉄道",'家族旅行経路（情報連携シート）'!H$9:H$44)</f>
        <v>0</v>
      </c>
      <c r="L42" s="692"/>
      <c r="M42" s="692"/>
      <c r="N42" s="692"/>
      <c r="O42" s="692"/>
      <c r="P42" s="193" t="s">
        <v>369</v>
      </c>
      <c r="Q42" s="689">
        <f>SUMIF('家族旅行経路（情報連携シート）'!$E$9:$E$44,"船",'家族旅行経路（情報連携シート）'!H$9:H$44)</f>
        <v>0</v>
      </c>
      <c r="R42" s="690"/>
      <c r="S42" s="690"/>
      <c r="T42" s="690"/>
      <c r="U42" s="690"/>
      <c r="V42" s="192" t="s">
        <v>369</v>
      </c>
      <c r="W42" s="689">
        <f>SUM(SUMIF('家族旅行経路（情報連携シート）'!$E$9:$E$44,"飛行機",'家族旅行経路（情報連携シート）'!H$9:H$44),SUMIF('家族旅行経路（情報連携シート）'!$E$9:$E$44,"ヘリ",'家族旅行経路（情報連携シート）'!H$9:H$44))</f>
        <v>0</v>
      </c>
      <c r="X42" s="690"/>
      <c r="Y42" s="690"/>
      <c r="Z42" s="690"/>
      <c r="AA42" s="690"/>
      <c r="AB42" s="690"/>
      <c r="AC42" s="193" t="s">
        <v>369</v>
      </c>
      <c r="AD42" s="689">
        <f>SUM(SUMIF('家族旅行経路（情報連携シート）'!$E$9:$E$44,"徒歩・その他の交通用具",'家族旅行経路（情報連携シート）'!H$9:H$44),SUMIF('家族旅行経路（情報連携シート）'!$E$9:$E$44,"タクシー",'家族旅行経路（情報連携シート）'!H$9:H$44),SUMIF('家族旅行経路（情報連携シート）'!$E$9:$E$44,"バス",'家族旅行経路（情報連携シート）'!H$9:H$44))</f>
        <v>0</v>
      </c>
      <c r="AE42" s="690"/>
      <c r="AF42" s="690"/>
      <c r="AG42" s="690"/>
      <c r="AH42" s="690"/>
      <c r="AI42" s="690"/>
      <c r="AJ42" s="192" t="s">
        <v>369</v>
      </c>
      <c r="AK42" s="693">
        <f>SUM('基本情報（情報連携シート）'!H125:I125,'基本情報（情報連携シート）'!H126:I126)</f>
        <v>0</v>
      </c>
      <c r="AL42" s="694"/>
      <c r="AM42" s="694"/>
      <c r="AN42" s="694"/>
      <c r="AO42" s="694"/>
      <c r="AP42" s="193" t="s">
        <v>369</v>
      </c>
      <c r="AQ42" s="689">
        <f>SUM('基本情報（情報連携シート）'!H129:I129,'基本情報（情報連携シート）'!H130:I130,'基本情報（情報連携シート）'!H131:I131,'基本情報（情報連携シート）'!H132:I132)</f>
        <v>0</v>
      </c>
      <c r="AR42" s="690"/>
      <c r="AS42" s="690"/>
      <c r="AT42" s="690"/>
      <c r="AU42" s="690"/>
      <c r="AV42" s="690"/>
      <c r="AW42" s="192" t="s">
        <v>369</v>
      </c>
      <c r="AX42" s="689">
        <f>SUM('基本情報（情報連携シート）'!H136:I140)</f>
        <v>0</v>
      </c>
      <c r="AY42" s="690"/>
      <c r="AZ42" s="690"/>
      <c r="BA42" s="690"/>
      <c r="BB42" s="690"/>
      <c r="BC42" s="193" t="s">
        <v>369</v>
      </c>
      <c r="BD42" s="689">
        <f t="shared" ref="BD42:BD45" si="0">SUM(K42,Q42,W42,AD42,AK42,AQ42,AX42)</f>
        <v>0</v>
      </c>
      <c r="BE42" s="690"/>
      <c r="BF42" s="690"/>
      <c r="BG42" s="690"/>
      <c r="BH42" s="190" t="s">
        <v>369</v>
      </c>
      <c r="BI42" s="161"/>
    </row>
    <row r="43" spans="1:71" x14ac:dyDescent="0.15">
      <c r="A43" s="562"/>
      <c r="B43" s="563"/>
      <c r="C43" s="564"/>
      <c r="D43" s="595" t="s">
        <v>303</v>
      </c>
      <c r="E43" s="593"/>
      <c r="F43" s="593"/>
      <c r="G43" s="675"/>
      <c r="H43" s="676"/>
      <c r="I43" s="677"/>
      <c r="J43" s="678"/>
      <c r="K43" s="691">
        <f>SUMIF('家族旅行経路（情報連携シート）'!$E$9:$E$44,"鉄道",'家族旅行経路（情報連携シート）'!J$9:J$44)</f>
        <v>0</v>
      </c>
      <c r="L43" s="692"/>
      <c r="M43" s="692"/>
      <c r="N43" s="692"/>
      <c r="O43" s="692"/>
      <c r="P43" s="193" t="s">
        <v>369</v>
      </c>
      <c r="Q43" s="689">
        <f>SUMIF('家族旅行経路（情報連携シート）'!$E$9:$E$44,"船",'家族旅行経路（情報連携シート）'!J$9:J$44)</f>
        <v>0</v>
      </c>
      <c r="R43" s="690"/>
      <c r="S43" s="690"/>
      <c r="T43" s="690"/>
      <c r="U43" s="690"/>
      <c r="V43" s="192" t="s">
        <v>369</v>
      </c>
      <c r="W43" s="689">
        <f>SUM(SUMIF('家族旅行経路（情報連携シート）'!$E$9:$E$44,"飛行機",'家族旅行経路（情報連携シート）'!J$9:J$44),SUMIF('家族旅行経路（情報連携シート）'!$E$9:$E$44,"ヘリ",'家族旅行経路（情報連携シート）'!J$9:J$44))</f>
        <v>0</v>
      </c>
      <c r="X43" s="690"/>
      <c r="Y43" s="690"/>
      <c r="Z43" s="690"/>
      <c r="AA43" s="690"/>
      <c r="AB43" s="690"/>
      <c r="AC43" s="193" t="s">
        <v>369</v>
      </c>
      <c r="AD43" s="689">
        <f>SUM(SUMIF('家族旅行経路（情報連携シート）'!$E$9:$E$44,"徒歩・その他の交通用具",'家族旅行経路（情報連携シート）'!J$9:J$44),SUMIF('家族旅行経路（情報連携シート）'!$E$9:$E$44,"タクシー",'家族旅行経路（情報連携シート）'!J$9:J$44),SUMIF('家族旅行経路（情報連携シート）'!$E$9:$E$44,"バス",'家族旅行経路（情報連携シート）'!J$9:J$44))</f>
        <v>0</v>
      </c>
      <c r="AE43" s="690"/>
      <c r="AF43" s="690"/>
      <c r="AG43" s="690"/>
      <c r="AH43" s="690"/>
      <c r="AI43" s="690"/>
      <c r="AJ43" s="192" t="s">
        <v>369</v>
      </c>
      <c r="AK43" s="693">
        <f>SUM('基本情報（情報連携シート）'!J125:K125,'基本情報（情報連携シート）'!J126:K126)</f>
        <v>0</v>
      </c>
      <c r="AL43" s="694"/>
      <c r="AM43" s="694"/>
      <c r="AN43" s="694"/>
      <c r="AO43" s="694"/>
      <c r="AP43" s="193" t="s">
        <v>369</v>
      </c>
      <c r="AQ43" s="689">
        <f>SUM('基本情報（情報連携シート）'!J129:K129,'基本情報（情報連携シート）'!J130:K130,'基本情報（情報連携シート）'!J131:K131,'基本情報（情報連携シート）'!J132:K132)</f>
        <v>0</v>
      </c>
      <c r="AR43" s="690"/>
      <c r="AS43" s="690"/>
      <c r="AT43" s="690"/>
      <c r="AU43" s="690"/>
      <c r="AV43" s="690"/>
      <c r="AW43" s="192" t="s">
        <v>369</v>
      </c>
      <c r="AX43" s="689">
        <f>SUM('基本情報（情報連携シート）'!J136:K140)</f>
        <v>0</v>
      </c>
      <c r="AY43" s="690"/>
      <c r="AZ43" s="690"/>
      <c r="BA43" s="690"/>
      <c r="BB43" s="690"/>
      <c r="BC43" s="193" t="s">
        <v>369</v>
      </c>
      <c r="BD43" s="689">
        <f t="shared" si="0"/>
        <v>0</v>
      </c>
      <c r="BE43" s="690"/>
      <c r="BF43" s="690"/>
      <c r="BG43" s="690"/>
      <c r="BH43" s="190" t="s">
        <v>369</v>
      </c>
      <c r="BI43" s="161"/>
    </row>
    <row r="44" spans="1:71" x14ac:dyDescent="0.15">
      <c r="A44" s="562"/>
      <c r="B44" s="563"/>
      <c r="C44" s="564"/>
      <c r="D44" s="595" t="s">
        <v>305</v>
      </c>
      <c r="E44" s="593"/>
      <c r="F44" s="593"/>
      <c r="G44" s="675"/>
      <c r="H44" s="676"/>
      <c r="I44" s="677"/>
      <c r="J44" s="678"/>
      <c r="K44" s="691">
        <f>SUMIF('家族旅行経路（情報連携シート）'!$E$9:$E$44,"鉄道",'家族旅行経路（情報連携シート）'!L$9:L$44)</f>
        <v>0</v>
      </c>
      <c r="L44" s="692"/>
      <c r="M44" s="692"/>
      <c r="N44" s="692"/>
      <c r="O44" s="692"/>
      <c r="P44" s="193" t="s">
        <v>369</v>
      </c>
      <c r="Q44" s="689">
        <f>SUMIF('家族旅行経路（情報連携シート）'!$E$9:$E$44,"船",'家族旅行経路（情報連携シート）'!L$9:L$44)</f>
        <v>0</v>
      </c>
      <c r="R44" s="690"/>
      <c r="S44" s="690"/>
      <c r="T44" s="690"/>
      <c r="U44" s="690"/>
      <c r="V44" s="192" t="s">
        <v>369</v>
      </c>
      <c r="W44" s="689">
        <f>SUM(SUMIF('家族旅行経路（情報連携シート）'!$E$9:$E$44,"飛行機",'家族旅行経路（情報連携シート）'!L$9:L$44),SUMIF('家族旅行経路（情報連携シート）'!$E$9:$E$44,"ヘリ",'家族旅行経路（情報連携シート）'!L$9:L$44))</f>
        <v>0</v>
      </c>
      <c r="X44" s="690"/>
      <c r="Y44" s="690"/>
      <c r="Z44" s="690"/>
      <c r="AA44" s="690"/>
      <c r="AB44" s="690"/>
      <c r="AC44" s="193" t="s">
        <v>369</v>
      </c>
      <c r="AD44" s="689">
        <f>SUM(SUMIF('家族旅行経路（情報連携シート）'!$E$9:$E$44,"徒歩・その他の交通用具",'家族旅行経路（情報連携シート）'!L$9:L$44),SUMIF('家族旅行経路（情報連携シート）'!$E$9:$E$44,"タクシー",'家族旅行経路（情報連携シート）'!L$9:L$44),SUMIF('家族旅行経路（情報連携シート）'!$E$9:$E$44,"バス",'家族旅行経路（情報連携シート）'!L$9:L$44))</f>
        <v>0</v>
      </c>
      <c r="AE44" s="690"/>
      <c r="AF44" s="690"/>
      <c r="AG44" s="690"/>
      <c r="AH44" s="690"/>
      <c r="AI44" s="690"/>
      <c r="AJ44" s="192" t="s">
        <v>369</v>
      </c>
      <c r="AK44" s="693">
        <f>SUM('基本情報（情報連携シート）'!L125:M125,'基本情報（情報連携シート）'!L126:M126)</f>
        <v>0</v>
      </c>
      <c r="AL44" s="694"/>
      <c r="AM44" s="694"/>
      <c r="AN44" s="694"/>
      <c r="AO44" s="694"/>
      <c r="AP44" s="193" t="s">
        <v>369</v>
      </c>
      <c r="AQ44" s="689">
        <f>SUM('基本情報（情報連携シート）'!L129:M129,'基本情報（情報連携シート）'!L130:M130,'基本情報（情報連携シート）'!L131:M131,'基本情報（情報連携シート）'!L132:M132)</f>
        <v>0</v>
      </c>
      <c r="AR44" s="690"/>
      <c r="AS44" s="690"/>
      <c r="AT44" s="690"/>
      <c r="AU44" s="690"/>
      <c r="AV44" s="690"/>
      <c r="AW44" s="192" t="s">
        <v>369</v>
      </c>
      <c r="AX44" s="689">
        <f>SUM('基本情報（情報連携シート）'!L136:M140)</f>
        <v>0</v>
      </c>
      <c r="AY44" s="690"/>
      <c r="AZ44" s="690"/>
      <c r="BA44" s="690"/>
      <c r="BB44" s="690"/>
      <c r="BC44" s="193" t="s">
        <v>369</v>
      </c>
      <c r="BD44" s="689">
        <f t="shared" si="0"/>
        <v>0</v>
      </c>
      <c r="BE44" s="690"/>
      <c r="BF44" s="690"/>
      <c r="BG44" s="690"/>
      <c r="BH44" s="190" t="s">
        <v>369</v>
      </c>
      <c r="BI44" s="161"/>
    </row>
    <row r="45" spans="1:71" x14ac:dyDescent="0.15">
      <c r="A45" s="548"/>
      <c r="B45" s="549"/>
      <c r="C45" s="561"/>
      <c r="D45" s="595" t="s">
        <v>308</v>
      </c>
      <c r="E45" s="593"/>
      <c r="F45" s="593"/>
      <c r="G45" s="675"/>
      <c r="H45" s="676"/>
      <c r="I45" s="677"/>
      <c r="J45" s="678"/>
      <c r="K45" s="691">
        <f>SUMIF('家族旅行経路（情報連携シート）'!$E$9:$E$44,"鉄道",'家族旅行経路（情報連携シート）'!N$9:N$44)</f>
        <v>0</v>
      </c>
      <c r="L45" s="692"/>
      <c r="M45" s="692"/>
      <c r="N45" s="692"/>
      <c r="O45" s="692"/>
      <c r="P45" s="193" t="s">
        <v>369</v>
      </c>
      <c r="Q45" s="689">
        <f>SUMIF('家族旅行経路（情報連携シート）'!$E$9:$E$44,"船",'家族旅行経路（情報連携シート）'!N$9:N$44)</f>
        <v>0</v>
      </c>
      <c r="R45" s="690"/>
      <c r="S45" s="690"/>
      <c r="T45" s="690"/>
      <c r="U45" s="690"/>
      <c r="V45" s="192" t="s">
        <v>369</v>
      </c>
      <c r="W45" s="689">
        <f>SUM(SUMIF('家族旅行経路（情報連携シート）'!$E$9:$E$44,"飛行機",'家族旅行経路（情報連携シート）'!N$9:N$44),SUMIF('家族旅行経路（情報連携シート）'!$E$9:$E$44,"ヘリ",'家族旅行経路（情報連携シート）'!N$9:N$44))</f>
        <v>0</v>
      </c>
      <c r="X45" s="690"/>
      <c r="Y45" s="690"/>
      <c r="Z45" s="690"/>
      <c r="AA45" s="690"/>
      <c r="AB45" s="690"/>
      <c r="AC45" s="193" t="s">
        <v>369</v>
      </c>
      <c r="AD45" s="689">
        <f>SUM(SUMIF('家族旅行経路（情報連携シート）'!$E$9:$E$44,"徒歩・その他の交通用具",'家族旅行経路（情報連携シート）'!N$9:N$44),SUMIF('家族旅行経路（情報連携シート）'!$E$9:$E$44,"タクシー",'家族旅行経路（情報連携シート）'!N$9:N$44),SUMIF('家族旅行経路（情報連携シート）'!$E$9:$E$44,"バス",'家族旅行経路（情報連携シート）'!N$9:N$44))</f>
        <v>0</v>
      </c>
      <c r="AE45" s="690"/>
      <c r="AF45" s="690"/>
      <c r="AG45" s="690"/>
      <c r="AH45" s="690"/>
      <c r="AI45" s="690"/>
      <c r="AJ45" s="192" t="s">
        <v>369</v>
      </c>
      <c r="AK45" s="693">
        <f>SUM('基本情報（情報連携シート）'!N125:O125,'基本情報（情報連携シート）'!N126:O126)</f>
        <v>0</v>
      </c>
      <c r="AL45" s="694"/>
      <c r="AM45" s="694"/>
      <c r="AN45" s="694"/>
      <c r="AO45" s="694"/>
      <c r="AP45" s="193" t="s">
        <v>369</v>
      </c>
      <c r="AQ45" s="689">
        <f>SUM('基本情報（情報連携シート）'!N129:O129,'基本情報（情報連携シート）'!N130:O130,'基本情報（情報連携シート）'!N131:O131,'基本情報（情報連携シート）'!N132:O132)</f>
        <v>0</v>
      </c>
      <c r="AR45" s="690"/>
      <c r="AS45" s="690"/>
      <c r="AT45" s="690"/>
      <c r="AU45" s="690"/>
      <c r="AV45" s="690"/>
      <c r="AW45" s="192" t="s">
        <v>369</v>
      </c>
      <c r="AX45" s="689">
        <f>SUM('基本情報（情報連携シート）'!N136:O140)</f>
        <v>0</v>
      </c>
      <c r="AY45" s="690"/>
      <c r="AZ45" s="690"/>
      <c r="BA45" s="690"/>
      <c r="BB45" s="690"/>
      <c r="BC45" s="193" t="s">
        <v>369</v>
      </c>
      <c r="BD45" s="689">
        <f t="shared" si="0"/>
        <v>0</v>
      </c>
      <c r="BE45" s="690"/>
      <c r="BF45" s="690"/>
      <c r="BG45" s="690"/>
      <c r="BH45" s="190" t="s">
        <v>369</v>
      </c>
      <c r="BI45" s="161"/>
    </row>
    <row r="46" spans="1:71" x14ac:dyDescent="0.15">
      <c r="A46" s="160" t="s">
        <v>419</v>
      </c>
      <c r="BI46" s="161"/>
    </row>
    <row r="47" spans="1:71" x14ac:dyDescent="0.15">
      <c r="A47" s="160" t="s">
        <v>438</v>
      </c>
      <c r="BI47" s="161"/>
    </row>
    <row r="48" spans="1:71" x14ac:dyDescent="0.15">
      <c r="A48" s="167"/>
      <c r="B48" s="168"/>
      <c r="C48" s="168"/>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168"/>
      <c r="AB48" s="168"/>
      <c r="AC48" s="168"/>
      <c r="AD48" s="168"/>
      <c r="AE48" s="168"/>
      <c r="AF48" s="168"/>
      <c r="AG48" s="168"/>
      <c r="AH48" s="168"/>
      <c r="AI48" s="168"/>
      <c r="AJ48" s="168"/>
      <c r="AK48" s="168"/>
      <c r="AL48" s="168"/>
      <c r="AM48" s="168"/>
      <c r="AN48" s="168"/>
      <c r="AO48" s="168"/>
      <c r="AP48" s="168"/>
      <c r="AQ48" s="168"/>
      <c r="AR48" s="168"/>
      <c r="AS48" s="168"/>
      <c r="AT48" s="168"/>
      <c r="AU48" s="168"/>
      <c r="AV48" s="168"/>
      <c r="AW48" s="168"/>
      <c r="AX48" s="168"/>
      <c r="AY48" s="168"/>
      <c r="AZ48" s="168"/>
      <c r="BA48" s="168"/>
      <c r="BB48" s="168"/>
      <c r="BC48" s="168"/>
      <c r="BD48" s="168"/>
      <c r="BE48" s="168"/>
      <c r="BF48" s="168"/>
      <c r="BG48" s="168"/>
      <c r="BH48" s="168"/>
      <c r="BI48" s="166"/>
    </row>
  </sheetData>
  <sheetProtection algorithmName="SHA-512" hashValue="rxGPLtWj2lebtGNxt1wxyTEGnRQT5ZzKJKcplvu3FDRLh7tr47Kpg5kNQaw824HHI4W0xjCnT2rkQQq4P4MonA==" saltValue="S/5pFX4/bdQTucEMtLqgKw==" spinCount="100000" sheet="1" objects="1" scenarios="1"/>
  <mergeCells count="353">
    <mergeCell ref="BD29:BH37"/>
    <mergeCell ref="BD20:BH20"/>
    <mergeCell ref="BD21:BH21"/>
    <mergeCell ref="BD22:BH24"/>
    <mergeCell ref="BD25:BH28"/>
    <mergeCell ref="BP17:BP18"/>
    <mergeCell ref="BR17:BR18"/>
    <mergeCell ref="BM17:BM18"/>
    <mergeCell ref="BK19:BK20"/>
    <mergeCell ref="BM19:BM20"/>
    <mergeCell ref="BP35:BP36"/>
    <mergeCell ref="BR35:BR36"/>
    <mergeCell ref="BP19:BP20"/>
    <mergeCell ref="BR19:BR20"/>
    <mergeCell ref="BP21:BP22"/>
    <mergeCell ref="BR21:BR22"/>
    <mergeCell ref="BP23:BP24"/>
    <mergeCell ref="BR23:BR24"/>
    <mergeCell ref="BP25:BP26"/>
    <mergeCell ref="BR25:BR26"/>
    <mergeCell ref="BP27:BP28"/>
    <mergeCell ref="BR27:BR28"/>
    <mergeCell ref="BL31:BL32"/>
    <mergeCell ref="BL33:BL34"/>
    <mergeCell ref="BD41:BG41"/>
    <mergeCell ref="BD42:BG42"/>
    <mergeCell ref="BD43:BG43"/>
    <mergeCell ref="BD44:BG44"/>
    <mergeCell ref="BD19:BH19"/>
    <mergeCell ref="BD17:BG18"/>
    <mergeCell ref="BD40:BG40"/>
    <mergeCell ref="BD39:BH39"/>
    <mergeCell ref="BM33:BM34"/>
    <mergeCell ref="BK35:BK36"/>
    <mergeCell ref="BM35:BM36"/>
    <mergeCell ref="BM29:BM30"/>
    <mergeCell ref="BK31:BK32"/>
    <mergeCell ref="BM31:BM32"/>
    <mergeCell ref="BM25:BM26"/>
    <mergeCell ref="BK27:BK28"/>
    <mergeCell ref="BM27:BM28"/>
    <mergeCell ref="BM21:BM22"/>
    <mergeCell ref="BK23:BK24"/>
    <mergeCell ref="BM23:BM24"/>
    <mergeCell ref="BL23:BL24"/>
    <mergeCell ref="BL25:BL26"/>
    <mergeCell ref="BL27:BL28"/>
    <mergeCell ref="BL29:BL30"/>
    <mergeCell ref="BD45:BG45"/>
    <mergeCell ref="BK17:BK18"/>
    <mergeCell ref="BK21:BK22"/>
    <mergeCell ref="BK25:BK26"/>
    <mergeCell ref="BK29:BK30"/>
    <mergeCell ref="BK33:BK34"/>
    <mergeCell ref="AQ42:AV42"/>
    <mergeCell ref="AQ43:AV43"/>
    <mergeCell ref="AQ44:AV44"/>
    <mergeCell ref="AQ45:AV45"/>
    <mergeCell ref="AX41:BB41"/>
    <mergeCell ref="AX42:BB42"/>
    <mergeCell ref="AX43:BB43"/>
    <mergeCell ref="AX44:BB44"/>
    <mergeCell ref="AX45:BB45"/>
    <mergeCell ref="BA25:BB25"/>
    <mergeCell ref="BA26:BB26"/>
    <mergeCell ref="BA29:BB29"/>
    <mergeCell ref="AY30:BB30"/>
    <mergeCell ref="AY27:BB27"/>
    <mergeCell ref="AS35:AV35"/>
    <mergeCell ref="AS33:AV33"/>
    <mergeCell ref="AY33:BB33"/>
    <mergeCell ref="AS28:AV28"/>
    <mergeCell ref="W43:AB43"/>
    <mergeCell ref="W44:AB44"/>
    <mergeCell ref="W45:AB45"/>
    <mergeCell ref="AD42:AI42"/>
    <mergeCell ref="AD43:AI43"/>
    <mergeCell ref="AD44:AI44"/>
    <mergeCell ref="AD45:AI45"/>
    <mergeCell ref="AK41:AO41"/>
    <mergeCell ref="AK42:AO42"/>
    <mergeCell ref="AK43:AO43"/>
    <mergeCell ref="AK44:AO44"/>
    <mergeCell ref="AK45:AO45"/>
    <mergeCell ref="K41:O41"/>
    <mergeCell ref="Q41:U41"/>
    <mergeCell ref="AD41:AI41"/>
    <mergeCell ref="AQ41:AV41"/>
    <mergeCell ref="W41:AB41"/>
    <mergeCell ref="AQ40:AV40"/>
    <mergeCell ref="Q39:V39"/>
    <mergeCell ref="W39:AC39"/>
    <mergeCell ref="K42:O42"/>
    <mergeCell ref="AK40:AO40"/>
    <mergeCell ref="W42:AB42"/>
    <mergeCell ref="H43:J43"/>
    <mergeCell ref="D44:G44"/>
    <mergeCell ref="H44:J44"/>
    <mergeCell ref="D45:G45"/>
    <mergeCell ref="H45:J45"/>
    <mergeCell ref="Q42:U42"/>
    <mergeCell ref="Q43:U43"/>
    <mergeCell ref="Q44:U44"/>
    <mergeCell ref="Q45:U45"/>
    <mergeCell ref="K43:O43"/>
    <mergeCell ref="K44:O44"/>
    <mergeCell ref="K45:O45"/>
    <mergeCell ref="AX40:BB40"/>
    <mergeCell ref="AX39:BC39"/>
    <mergeCell ref="AS36:AV36"/>
    <mergeCell ref="AJ37:AL37"/>
    <mergeCell ref="AN37:AQ37"/>
    <mergeCell ref="AS37:AV37"/>
    <mergeCell ref="AY37:BB37"/>
    <mergeCell ref="A41:C45"/>
    <mergeCell ref="D41:G41"/>
    <mergeCell ref="H41:J41"/>
    <mergeCell ref="D42:G42"/>
    <mergeCell ref="H42:J42"/>
    <mergeCell ref="D43:G43"/>
    <mergeCell ref="AD39:AJ39"/>
    <mergeCell ref="AK39:AP39"/>
    <mergeCell ref="AQ39:AW39"/>
    <mergeCell ref="H40:I40"/>
    <mergeCell ref="K40:O40"/>
    <mergeCell ref="Q40:U40"/>
    <mergeCell ref="W40:AB40"/>
    <mergeCell ref="AD40:AI40"/>
    <mergeCell ref="A39:G40"/>
    <mergeCell ref="H39:J39"/>
    <mergeCell ref="K39:P39"/>
    <mergeCell ref="A36:C37"/>
    <mergeCell ref="D36:G37"/>
    <mergeCell ref="H36:K37"/>
    <mergeCell ref="L36:O37"/>
    <mergeCell ref="Q36:T37"/>
    <mergeCell ref="V36:Y37"/>
    <mergeCell ref="AA36:AC37"/>
    <mergeCell ref="AE36:AH37"/>
    <mergeCell ref="AN36:AQ36"/>
    <mergeCell ref="A34:C35"/>
    <mergeCell ref="D34:G35"/>
    <mergeCell ref="H34:K35"/>
    <mergeCell ref="L34:O35"/>
    <mergeCell ref="V34:Y35"/>
    <mergeCell ref="AY32:BB32"/>
    <mergeCell ref="Q33:T33"/>
    <mergeCell ref="AA33:AC33"/>
    <mergeCell ref="AE33:AH33"/>
    <mergeCell ref="AJ33:AL33"/>
    <mergeCell ref="AN33:AQ33"/>
    <mergeCell ref="A32:C33"/>
    <mergeCell ref="D32:G33"/>
    <mergeCell ref="H32:K33"/>
    <mergeCell ref="L32:O33"/>
    <mergeCell ref="V32:Y33"/>
    <mergeCell ref="AY35:BB35"/>
    <mergeCell ref="AN34:AP34"/>
    <mergeCell ref="AS34:AV34"/>
    <mergeCell ref="Q35:T35"/>
    <mergeCell ref="AA35:AC35"/>
    <mergeCell ref="AE35:AH35"/>
    <mergeCell ref="AJ35:AL35"/>
    <mergeCell ref="AN35:AQ35"/>
    <mergeCell ref="Q31:T31"/>
    <mergeCell ref="AA31:AC31"/>
    <mergeCell ref="AE31:AH31"/>
    <mergeCell ref="AJ31:AL31"/>
    <mergeCell ref="AN31:AQ31"/>
    <mergeCell ref="AS31:AV31"/>
    <mergeCell ref="AN32:AP32"/>
    <mergeCell ref="AS32:AV32"/>
    <mergeCell ref="A30:C31"/>
    <mergeCell ref="D30:G31"/>
    <mergeCell ref="H30:K31"/>
    <mergeCell ref="L30:O31"/>
    <mergeCell ref="V30:Y31"/>
    <mergeCell ref="AS30:AV30"/>
    <mergeCell ref="Q29:T29"/>
    <mergeCell ref="AA29:AC29"/>
    <mergeCell ref="AE29:AH29"/>
    <mergeCell ref="AJ29:AL29"/>
    <mergeCell ref="AN29:AQ29"/>
    <mergeCell ref="AN30:AP30"/>
    <mergeCell ref="V24:Y25"/>
    <mergeCell ref="AS29:AV29"/>
    <mergeCell ref="A28:C29"/>
    <mergeCell ref="D28:G29"/>
    <mergeCell ref="H28:K29"/>
    <mergeCell ref="L28:O29"/>
    <mergeCell ref="V28:Y29"/>
    <mergeCell ref="AS26:AV26"/>
    <mergeCell ref="AS24:AV24"/>
    <mergeCell ref="Q25:T25"/>
    <mergeCell ref="AA25:AC25"/>
    <mergeCell ref="AE25:AH25"/>
    <mergeCell ref="AJ25:AL25"/>
    <mergeCell ref="AN25:AQ25"/>
    <mergeCell ref="AS25:AV25"/>
    <mergeCell ref="AN28:AP28"/>
    <mergeCell ref="AY26:AZ26"/>
    <mergeCell ref="Q27:T27"/>
    <mergeCell ref="AA27:AC27"/>
    <mergeCell ref="AE27:AH27"/>
    <mergeCell ref="AJ27:AL27"/>
    <mergeCell ref="AN27:AQ27"/>
    <mergeCell ref="AS27:AV27"/>
    <mergeCell ref="A20:C21"/>
    <mergeCell ref="D20:G21"/>
    <mergeCell ref="H20:K21"/>
    <mergeCell ref="L20:O21"/>
    <mergeCell ref="V20:Y21"/>
    <mergeCell ref="AY25:AZ25"/>
    <mergeCell ref="A26:C27"/>
    <mergeCell ref="D26:G27"/>
    <mergeCell ref="H26:K27"/>
    <mergeCell ref="L26:O27"/>
    <mergeCell ref="V26:Y27"/>
    <mergeCell ref="AN26:AP26"/>
    <mergeCell ref="A24:C25"/>
    <mergeCell ref="D24:G25"/>
    <mergeCell ref="H24:K25"/>
    <mergeCell ref="L24:O25"/>
    <mergeCell ref="AN24:AP24"/>
    <mergeCell ref="AY18:BB18"/>
    <mergeCell ref="Q19:T19"/>
    <mergeCell ref="AA19:AC19"/>
    <mergeCell ref="AE19:AH19"/>
    <mergeCell ref="AJ19:AL19"/>
    <mergeCell ref="AN19:AQ19"/>
    <mergeCell ref="AS19:AV19"/>
    <mergeCell ref="Q21:T21"/>
    <mergeCell ref="AA21:AC21"/>
    <mergeCell ref="AE21:AH21"/>
    <mergeCell ref="AJ21:AL21"/>
    <mergeCell ref="AN21:AQ21"/>
    <mergeCell ref="AS21:AV21"/>
    <mergeCell ref="A22:C23"/>
    <mergeCell ref="D22:G23"/>
    <mergeCell ref="H22:K23"/>
    <mergeCell ref="L22:O23"/>
    <mergeCell ref="V22:Y23"/>
    <mergeCell ref="AS20:AV20"/>
    <mergeCell ref="AY20:BB20"/>
    <mergeCell ref="AS23:AV23"/>
    <mergeCell ref="A18:C19"/>
    <mergeCell ref="D18:G19"/>
    <mergeCell ref="H18:K19"/>
    <mergeCell ref="L18:O19"/>
    <mergeCell ref="V18:Y19"/>
    <mergeCell ref="AN18:AP18"/>
    <mergeCell ref="AN20:AP20"/>
    <mergeCell ref="AN22:AP22"/>
    <mergeCell ref="AS22:AV22"/>
    <mergeCell ref="AY22:BB22"/>
    <mergeCell ref="Q23:T23"/>
    <mergeCell ref="AA23:AC23"/>
    <mergeCell ref="AE23:AH23"/>
    <mergeCell ref="AJ23:AL23"/>
    <mergeCell ref="AN23:AQ23"/>
    <mergeCell ref="AS18:AV18"/>
    <mergeCell ref="Q17:T17"/>
    <mergeCell ref="AA17:AC17"/>
    <mergeCell ref="AE17:AH17"/>
    <mergeCell ref="AJ17:AL17"/>
    <mergeCell ref="AN17:AQ17"/>
    <mergeCell ref="AS17:AV17"/>
    <mergeCell ref="Q13:U13"/>
    <mergeCell ref="Q14:U14"/>
    <mergeCell ref="Q15:U15"/>
    <mergeCell ref="A16:C17"/>
    <mergeCell ref="D16:G17"/>
    <mergeCell ref="H16:K17"/>
    <mergeCell ref="L16:O17"/>
    <mergeCell ref="V16:Y17"/>
    <mergeCell ref="D14:D15"/>
    <mergeCell ref="E14:F14"/>
    <mergeCell ref="G14:G15"/>
    <mergeCell ref="H14:H15"/>
    <mergeCell ref="I14:J14"/>
    <mergeCell ref="K14:K15"/>
    <mergeCell ref="E15:F15"/>
    <mergeCell ref="I15:J15"/>
    <mergeCell ref="A11:C15"/>
    <mergeCell ref="D11:G13"/>
    <mergeCell ref="H11:K13"/>
    <mergeCell ref="L11:BH11"/>
    <mergeCell ref="L12:Z12"/>
    <mergeCell ref="AA12:AI12"/>
    <mergeCell ref="AJ12:AM15"/>
    <mergeCell ref="AN12:AR14"/>
    <mergeCell ref="AS12:AW15"/>
    <mergeCell ref="AN16:AP16"/>
    <mergeCell ref="AS16:AV16"/>
    <mergeCell ref="AJ8:AN9"/>
    <mergeCell ref="AO8:AQ9"/>
    <mergeCell ref="AR8:BB9"/>
    <mergeCell ref="BC8:BE9"/>
    <mergeCell ref="AX12:BC15"/>
    <mergeCell ref="BD12:BH15"/>
    <mergeCell ref="L13:P15"/>
    <mergeCell ref="V13:Z15"/>
    <mergeCell ref="AA13:AD15"/>
    <mergeCell ref="AE13:AI15"/>
    <mergeCell ref="BF8:BH9"/>
    <mergeCell ref="BN19:BN20"/>
    <mergeCell ref="BN21:BN22"/>
    <mergeCell ref="BN23:BN24"/>
    <mergeCell ref="BN25:BN26"/>
    <mergeCell ref="BN27:BN28"/>
    <mergeCell ref="BN29:BN30"/>
    <mergeCell ref="AY3:BE5"/>
    <mergeCell ref="BF3:BH5"/>
    <mergeCell ref="H5:AM5"/>
    <mergeCell ref="A7:H7"/>
    <mergeCell ref="I7:Q7"/>
    <mergeCell ref="R7:Z7"/>
    <mergeCell ref="AA7:AI7"/>
    <mergeCell ref="AJ7:AN7"/>
    <mergeCell ref="AO7:AQ7"/>
    <mergeCell ref="AR7:BB7"/>
    <mergeCell ref="BC7:BE7"/>
    <mergeCell ref="BF7:BH7"/>
    <mergeCell ref="AK3:AL3"/>
    <mergeCell ref="AH3:AI3"/>
    <mergeCell ref="A8:G9"/>
    <mergeCell ref="I8:P9"/>
    <mergeCell ref="R8:Y9"/>
    <mergeCell ref="AA8:AH9"/>
    <mergeCell ref="BN31:BN32"/>
    <mergeCell ref="BN33:BN34"/>
    <mergeCell ref="BN35:BN36"/>
    <mergeCell ref="BL17:BL18"/>
    <mergeCell ref="BL19:BL20"/>
    <mergeCell ref="BL21:BL22"/>
    <mergeCell ref="BP29:BP30"/>
    <mergeCell ref="BR29:BR30"/>
    <mergeCell ref="BP31:BP32"/>
    <mergeCell ref="BR31:BR32"/>
    <mergeCell ref="BP33:BP34"/>
    <mergeCell ref="BR33:BR34"/>
    <mergeCell ref="BL35:BL36"/>
    <mergeCell ref="BQ17:BQ18"/>
    <mergeCell ref="BQ19:BQ20"/>
    <mergeCell ref="BQ21:BQ22"/>
    <mergeCell ref="BQ23:BQ24"/>
    <mergeCell ref="BQ25:BQ26"/>
    <mergeCell ref="BQ27:BQ28"/>
    <mergeCell ref="BQ29:BQ30"/>
    <mergeCell ref="BQ31:BQ32"/>
    <mergeCell ref="BQ33:BQ34"/>
    <mergeCell ref="BQ35:BQ36"/>
    <mergeCell ref="BN17:BN18"/>
  </mergeCells>
  <phoneticPr fontId="8"/>
  <pageMargins left="0.7" right="0.7" top="0.75" bottom="0.75" header="0.3" footer="0.3"/>
  <pageSetup paperSize="9" scale="63" orientation="landscape" r:id="rId1"/>
  <extLst>
    <ext xmlns:x14="http://schemas.microsoft.com/office/spreadsheetml/2009/9/main" uri="{78C0D931-6437-407d-A8EE-F0AAD7539E65}">
      <x14:conditionalFormattings>
        <x14:conditionalFormatting xmlns:xm="http://schemas.microsoft.com/office/excel/2006/main">
          <x14:cfRule type="expression" priority="12" id="{66CD3801-1F43-4725-9040-51367B457347}">
            <xm:f>AND('本人旅行経路（情報連携シート）'!$E9="鉄道",'本人旅行経路（情報連携シート）'!$M9&lt;&gt;"")</xm:f>
            <x14:dxf>
              <font>
                <color auto="1"/>
              </font>
            </x14:dxf>
          </x14:cfRule>
          <xm:sqref>Q16 Q18 Q20 Q22 Q24 Q26 Q28 Q30 Q32 Q34</xm:sqref>
        </x14:conditionalFormatting>
        <x14:conditionalFormatting xmlns:xm="http://schemas.microsoft.com/office/excel/2006/main">
          <x14:cfRule type="expression" priority="11" id="{DFB23AC0-3709-4B8C-88AF-CBDAB797E127}">
            <xm:f>AND('本人旅行経路（情報連携シート）'!$E9="鉄道",'本人旅行経路（情報連携シート）'!$K9&lt;&gt;"")</xm:f>
            <x14:dxf>
              <font>
                <color auto="1"/>
              </font>
            </x14:dxf>
          </x14:cfRule>
          <xm:sqref>R16 R18 R20 R22 R24 R26 R28 R30 R32 R34</xm:sqref>
        </x14:conditionalFormatting>
        <x14:conditionalFormatting xmlns:xm="http://schemas.microsoft.com/office/excel/2006/main">
          <x14:cfRule type="expression" priority="9" id="{EB5C13F7-6D21-4997-8239-C980F8B06BAF}">
            <xm:f>AND('本人旅行経路（情報連携シート）'!$E9="鉄道",'本人旅行経路（情報連携シート）'!$Q9&lt;&gt;"")</xm:f>
            <x14:dxf>
              <font>
                <color auto="1"/>
              </font>
            </x14:dxf>
          </x14:cfRule>
          <xm:sqref>T16 T18 T20 T22 T24 T26 T28 T30 T32 T34</xm:sqref>
        </x14:conditionalFormatting>
        <x14:conditionalFormatting xmlns:xm="http://schemas.microsoft.com/office/excel/2006/main">
          <x14:cfRule type="expression" priority="8" id="{A674BA1F-D2D5-4BFD-8BFE-69D3210B2F6E}">
            <xm:f>OR('本人旅行経路（情報連携シート）'!$E9="飛行機",'本人旅行経路（情報連携シート）'!$E9="ヘリ")</xm:f>
            <x14:dxf>
              <font>
                <color auto="1"/>
              </font>
            </x14:dxf>
          </x14:cfRule>
          <xm:sqref>AA16 AA18 AA20 AA22 AA24 AA26 AA28 AA30 AA32 AA34</xm:sqref>
        </x14:conditionalFormatting>
        <x14:conditionalFormatting xmlns:xm="http://schemas.microsoft.com/office/excel/2006/main">
          <x14:cfRule type="expression" priority="7" id="{72B4BD3B-1E33-44E6-BC03-062CA90C15C5}">
            <xm:f>'本人旅行経路（情報連携シート）'!$E9="船"</xm:f>
            <x14:dxf>
              <font>
                <color auto="1"/>
              </font>
            </x14:dxf>
          </x14:cfRule>
          <xm:sqref>AB16 AB18 AB20 AB22 AB24 AB26 AB28 AB30 AB32 AB34</xm:sqref>
        </x14:conditionalFormatting>
        <x14:conditionalFormatting xmlns:xm="http://schemas.microsoft.com/office/excel/2006/main">
          <x14:cfRule type="expression" priority="5" id="{6E71F40B-03FC-4B2C-9331-6A43E0A945B5}">
            <xm:f>AND(OR('本人旅行経路（情報連携シート）'!$E9="飛行機",'本人旅行経路（情報連携シート）'!$E9="船",'本人旅行経路（情報連携シート）'!$E9="ヘリ"),'本人旅行経路（情報連携シート）'!$M9&lt;&gt;"")</xm:f>
            <x14:dxf>
              <font>
                <color auto="1"/>
              </font>
            </x14:dxf>
          </x14:cfRule>
          <xm:sqref>AE16 AE18 AE20 AE22 AE24 AE26 AE28 AE30 AE32 AE34</xm:sqref>
        </x14:conditionalFormatting>
        <x14:conditionalFormatting xmlns:xm="http://schemas.microsoft.com/office/excel/2006/main">
          <x14:cfRule type="expression" priority="4" id="{8DF5C353-352D-4412-BEAD-4ED823F66B64}">
            <xm:f>AND(OR('本人旅行経路（情報連携シート）'!$E9="飛行機",'本人旅行経路（情報連携シート）'!$E1048567="ヘリ",'本人旅行経路（情報連携シート）'!$E9="船"),'本人旅行経路（情報連携シート）'!$K9&lt;&gt;"")</xm:f>
            <x14:dxf>
              <font>
                <color auto="1"/>
              </font>
            </x14:dxf>
          </x14:cfRule>
          <xm:sqref>AF16 AF18 AF20 AF22 AF24 AF26 AF28 AF30 AF32 AF34</xm:sqref>
        </x14:conditionalFormatting>
        <x14:conditionalFormatting xmlns:xm="http://schemas.microsoft.com/office/excel/2006/main">
          <x14:cfRule type="expression" priority="3" id="{49EBAFAF-04D2-4270-8758-6E388E59DC0C}">
            <xm:f>AND(OR('本人旅行経路（情報連携シート）'!$E9="飛行機",'本人旅行経路（情報連携シート）'!$E1048567="ヘリ",'本人旅行経路（情報連携シート）'!$E9="船"),'本人旅行経路（情報連携シート）'!$O9&lt;&gt;"")</xm:f>
            <x14:dxf>
              <font>
                <color auto="1"/>
              </font>
            </x14:dxf>
          </x14:cfRule>
          <xm:sqref>AG16 AG18 AG20 AG22 AG24 AG26 AG28 AG30 AG32 AG34</xm:sqref>
        </x14:conditionalFormatting>
        <x14:conditionalFormatting xmlns:xm="http://schemas.microsoft.com/office/excel/2006/main">
          <x14:cfRule type="expression" priority="2" id="{A5C73D68-AE57-4F3D-A8D6-0539DCBAD533}">
            <xm:f>AND(OR('本人旅行経路（情報連携シート）'!$E9="飛行機",'本人旅行経路（情報連携シート）'!$E9="ヘリ",'本人旅行経路（情報連携シート）'!$E9="船"),'本人旅行経路（情報連携シート）'!$Q9&lt;&gt;"")</xm:f>
            <x14:dxf>
              <font>
                <color auto="1"/>
              </font>
            </x14:dxf>
          </x14:cfRule>
          <xm:sqref>AH16 AH18 AH20 AH22 AH24 AH26 AH28 AH30 AH32 AH34</xm:sqref>
        </x14:conditionalFormatting>
        <x14:conditionalFormatting xmlns:xm="http://schemas.microsoft.com/office/excel/2006/main">
          <x14:cfRule type="expression" priority="1" id="{2D2F3C4F-3C68-42C9-B64F-4B06455A8696}">
            <xm:f>AND('本人旅行経路（情報連携シート）'!$E9="鉄道",'本人旅行経路（情報連携シート）'!$O9&lt;&gt;"")</xm:f>
            <x14:dxf>
              <font>
                <color auto="1"/>
              </font>
            </x14:dxf>
          </x14:cfRule>
          <xm:sqref>S16 S18 S20 S22 S24 S26 S28 S30 S32 S34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DAC26-A31F-4C6B-98CF-CBD4772BAD46}">
  <sheetPr codeName="Sheet2">
    <tabColor rgb="FFFF0000"/>
    <pageSetUpPr fitToPage="1"/>
  </sheetPr>
  <dimension ref="A1:CA44"/>
  <sheetViews>
    <sheetView showGridLines="0" zoomScale="90" zoomScaleNormal="90" zoomScaleSheetLayoutView="100" workbookViewId="0"/>
  </sheetViews>
  <sheetFormatPr defaultColWidth="8.75" defaultRowHeight="13.5" x14ac:dyDescent="0.15"/>
  <cols>
    <col min="1" max="2" width="3.5" style="159" customWidth="1"/>
    <col min="3" max="3" width="6.25" style="159" customWidth="1"/>
    <col min="4" max="11" width="3.375" style="159" customWidth="1"/>
    <col min="12" max="16" width="2.75" style="159" customWidth="1"/>
    <col min="17" max="20" width="3.25" style="159" customWidth="1"/>
    <col min="21" max="21" width="2.75" style="159" customWidth="1"/>
    <col min="22" max="31" width="3" style="159" customWidth="1"/>
    <col min="32" max="35" width="2.75" style="159" customWidth="1"/>
    <col min="36" max="36" width="4.25" style="159" customWidth="1"/>
    <col min="37" max="38" width="3.875" style="159" customWidth="1"/>
    <col min="39" max="39" width="4.375" style="159" customWidth="1"/>
    <col min="40" max="40" width="1.125" style="159" customWidth="1"/>
    <col min="41" max="43" width="4.5" style="159" customWidth="1"/>
    <col min="44" max="44" width="3.125" style="159" customWidth="1"/>
    <col min="45" max="48" width="2.125" style="159" customWidth="1"/>
    <col min="49" max="50" width="3.125" style="159" customWidth="1"/>
    <col min="51" max="55" width="4.375" style="159" customWidth="1"/>
    <col min="56" max="59" width="4.625" style="159" customWidth="1"/>
    <col min="60" max="61" width="3.125" style="159" customWidth="1"/>
    <col min="62" max="62" width="3.75" style="159" customWidth="1"/>
    <col min="63" max="64" width="0" style="159" hidden="1" customWidth="1"/>
    <col min="65" max="65" width="21.375" style="159" hidden="1" customWidth="1"/>
    <col min="66" max="66" width="9.25" style="159" hidden="1" customWidth="1"/>
    <col min="67" max="67" width="2" style="159" hidden="1" customWidth="1"/>
    <col min="68" max="70" width="0" style="159" hidden="1" customWidth="1"/>
    <col min="71" max="16384" width="8.75" style="159"/>
  </cols>
  <sheetData>
    <row r="1" spans="1:79" x14ac:dyDescent="0.15">
      <c r="A1" s="156"/>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8"/>
    </row>
    <row r="2" spans="1:79" ht="14.45" customHeight="1" x14ac:dyDescent="0.15">
      <c r="A2" s="160"/>
      <c r="BI2" s="161"/>
    </row>
    <row r="3" spans="1:79" ht="17.45" customHeight="1" x14ac:dyDescent="0.15">
      <c r="A3" s="160"/>
      <c r="H3" s="162" t="s">
        <v>371</v>
      </c>
      <c r="I3" s="162"/>
      <c r="J3" s="162"/>
      <c r="K3" s="162"/>
      <c r="L3" s="162"/>
      <c r="M3" s="162"/>
      <c r="N3" s="162"/>
      <c r="O3" s="162"/>
      <c r="P3" s="162"/>
      <c r="Q3" s="162"/>
      <c r="R3" s="162"/>
      <c r="S3" s="162"/>
      <c r="T3" s="162"/>
      <c r="U3" s="162"/>
      <c r="V3" s="162"/>
      <c r="W3" s="162"/>
      <c r="X3" s="162"/>
      <c r="Y3" s="162"/>
      <c r="Z3" s="162"/>
      <c r="AA3" s="162"/>
      <c r="AB3" s="162"/>
      <c r="AC3" s="162"/>
      <c r="AD3" s="162"/>
      <c r="AE3" s="162" t="s">
        <v>372</v>
      </c>
      <c r="AF3" s="162"/>
      <c r="AG3" s="162"/>
      <c r="AH3" s="163"/>
      <c r="AI3" s="163" t="str">
        <f>IF('基本情報（情報連携シート）'!AD40="","",MID(TEXT('基本情報（情報連携シート）'!AD40,"gggge"),3,2))</f>
        <v/>
      </c>
      <c r="AJ3" s="162" t="s">
        <v>373</v>
      </c>
      <c r="AK3" s="826" t="str">
        <f>IF('基本情報（情報連携シート）'!AD40="","",MONTH('基本情報（情報連携シート）'!AD40))</f>
        <v/>
      </c>
      <c r="AL3" s="826"/>
      <c r="AM3" s="162" t="s">
        <v>374</v>
      </c>
      <c r="AN3" s="162"/>
      <c r="AO3" s="162"/>
      <c r="AP3" s="162"/>
      <c r="AQ3" s="162"/>
      <c r="AR3" s="162"/>
      <c r="AS3" s="162"/>
      <c r="AT3" s="162"/>
      <c r="AU3" s="162"/>
      <c r="AV3" s="162"/>
      <c r="AW3" s="162"/>
      <c r="AY3" s="542" t="s">
        <v>375</v>
      </c>
      <c r="AZ3" s="542"/>
      <c r="BA3" s="542"/>
      <c r="BB3" s="542"/>
      <c r="BC3" s="542"/>
      <c r="BD3" s="542"/>
      <c r="BE3" s="542"/>
      <c r="BF3" s="542"/>
      <c r="BG3" s="542"/>
      <c r="BH3" s="542"/>
      <c r="BI3" s="161"/>
    </row>
    <row r="4" spans="1:79" ht="17.45" customHeight="1" x14ac:dyDescent="0.15">
      <c r="A4" s="160"/>
      <c r="H4" s="162"/>
      <c r="I4" s="162"/>
      <c r="J4" s="162"/>
      <c r="K4" s="162"/>
      <c r="L4" s="162"/>
      <c r="M4" s="162"/>
      <c r="N4" s="162"/>
      <c r="O4" s="162"/>
      <c r="P4" s="162"/>
      <c r="Q4" s="162"/>
      <c r="R4" s="162"/>
      <c r="S4" s="162"/>
      <c r="T4" s="162"/>
      <c r="U4" s="162"/>
      <c r="V4" s="162"/>
      <c r="W4" s="162"/>
      <c r="X4" s="162"/>
      <c r="Y4" s="162"/>
      <c r="Z4" s="162"/>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Y4" s="542"/>
      <c r="AZ4" s="542"/>
      <c r="BA4" s="542"/>
      <c r="BB4" s="542"/>
      <c r="BC4" s="542"/>
      <c r="BD4" s="542"/>
      <c r="BE4" s="542"/>
      <c r="BF4" s="542"/>
      <c r="BG4" s="542"/>
      <c r="BH4" s="542"/>
      <c r="BI4" s="161"/>
    </row>
    <row r="5" spans="1:79" ht="14.45" customHeight="1" x14ac:dyDescent="0.15">
      <c r="A5" s="160"/>
      <c r="H5" s="543" t="s">
        <v>376</v>
      </c>
      <c r="I5" s="543"/>
      <c r="J5" s="543"/>
      <c r="K5" s="543"/>
      <c r="L5" s="543"/>
      <c r="M5" s="543"/>
      <c r="N5" s="543"/>
      <c r="O5" s="543"/>
      <c r="P5" s="543"/>
      <c r="Q5" s="543"/>
      <c r="R5" s="543"/>
      <c r="S5" s="543"/>
      <c r="T5" s="543"/>
      <c r="U5" s="543"/>
      <c r="V5" s="543"/>
      <c r="W5" s="543"/>
      <c r="X5" s="543"/>
      <c r="Y5" s="543"/>
      <c r="Z5" s="543"/>
      <c r="AA5" s="543"/>
      <c r="AB5" s="543"/>
      <c r="AC5" s="543"/>
      <c r="AD5" s="543"/>
      <c r="AE5" s="543"/>
      <c r="AF5" s="543"/>
      <c r="AG5" s="543"/>
      <c r="AH5" s="543"/>
      <c r="AI5" s="543"/>
      <c r="AJ5" s="543"/>
      <c r="AK5" s="543"/>
      <c r="AL5" s="543"/>
      <c r="AM5" s="543"/>
      <c r="AN5" s="164"/>
      <c r="AO5" s="164"/>
      <c r="AR5" s="164"/>
      <c r="AV5" s="159" t="s">
        <v>377</v>
      </c>
      <c r="AW5" s="165"/>
      <c r="AY5" s="542"/>
      <c r="AZ5" s="542"/>
      <c r="BA5" s="542"/>
      <c r="BB5" s="542"/>
      <c r="BC5" s="542"/>
      <c r="BD5" s="542"/>
      <c r="BE5" s="542"/>
      <c r="BF5" s="542"/>
      <c r="BG5" s="542"/>
      <c r="BH5" s="542"/>
      <c r="BI5" s="161"/>
    </row>
    <row r="6" spans="1:79" ht="9" customHeight="1" x14ac:dyDescent="0.15">
      <c r="A6" s="160"/>
      <c r="BI6" s="161"/>
    </row>
    <row r="7" spans="1:79" ht="14.45" customHeight="1" x14ac:dyDescent="0.15">
      <c r="A7" s="542" t="s">
        <v>378</v>
      </c>
      <c r="B7" s="542"/>
      <c r="C7" s="542"/>
      <c r="D7" s="542"/>
      <c r="E7" s="542"/>
      <c r="F7" s="542"/>
      <c r="G7" s="542"/>
      <c r="H7" s="542"/>
      <c r="I7" s="542" t="s">
        <v>379</v>
      </c>
      <c r="J7" s="542"/>
      <c r="K7" s="542"/>
      <c r="L7" s="542"/>
      <c r="M7" s="542"/>
      <c r="N7" s="542"/>
      <c r="O7" s="542"/>
      <c r="P7" s="542"/>
      <c r="Q7" s="542"/>
      <c r="R7" s="542" t="s">
        <v>380</v>
      </c>
      <c r="S7" s="542"/>
      <c r="T7" s="542"/>
      <c r="U7" s="542"/>
      <c r="V7" s="542"/>
      <c r="W7" s="542"/>
      <c r="X7" s="542"/>
      <c r="Y7" s="542"/>
      <c r="Z7" s="542"/>
      <c r="AA7" s="542" t="s">
        <v>381</v>
      </c>
      <c r="AB7" s="542"/>
      <c r="AC7" s="542"/>
      <c r="AD7" s="542"/>
      <c r="AE7" s="542"/>
      <c r="AF7" s="542"/>
      <c r="AG7" s="542"/>
      <c r="AH7" s="542"/>
      <c r="AI7" s="542"/>
      <c r="AJ7" s="542" t="s">
        <v>382</v>
      </c>
      <c r="AK7" s="542"/>
      <c r="AL7" s="542"/>
      <c r="AM7" s="542"/>
      <c r="AN7" s="542"/>
      <c r="AO7" s="542" t="s">
        <v>383</v>
      </c>
      <c r="AP7" s="542"/>
      <c r="AQ7" s="542"/>
      <c r="AR7" s="542" t="s">
        <v>18</v>
      </c>
      <c r="AS7" s="542"/>
      <c r="AT7" s="542"/>
      <c r="AU7" s="542"/>
      <c r="AV7" s="542"/>
      <c r="AW7" s="542"/>
      <c r="AX7" s="542"/>
      <c r="AY7" s="542"/>
      <c r="AZ7" s="542"/>
      <c r="BA7" s="542"/>
      <c r="BB7" s="542"/>
      <c r="BC7" s="542" t="s">
        <v>384</v>
      </c>
      <c r="BD7" s="542"/>
      <c r="BE7" s="542"/>
      <c r="BF7" s="542" t="s">
        <v>385</v>
      </c>
      <c r="BG7" s="542"/>
      <c r="BH7" s="542"/>
      <c r="BI7" s="161"/>
    </row>
    <row r="8" spans="1:79" ht="23.45" customHeight="1" x14ac:dyDescent="0.15">
      <c r="A8" s="546"/>
      <c r="B8" s="547"/>
      <c r="C8" s="547"/>
      <c r="D8" s="547"/>
      <c r="E8" s="547"/>
      <c r="F8" s="547"/>
      <c r="G8" s="547"/>
      <c r="H8" s="158"/>
      <c r="I8" s="822"/>
      <c r="J8" s="823"/>
      <c r="K8" s="823"/>
      <c r="L8" s="823"/>
      <c r="M8" s="823"/>
      <c r="N8" s="823"/>
      <c r="O8" s="823"/>
      <c r="P8" s="823"/>
      <c r="Q8" s="158"/>
      <c r="R8" s="546"/>
      <c r="S8" s="547"/>
      <c r="T8" s="547"/>
      <c r="U8" s="547"/>
      <c r="V8" s="547"/>
      <c r="W8" s="547"/>
      <c r="X8" s="547"/>
      <c r="Y8" s="547"/>
      <c r="Z8" s="158"/>
      <c r="AA8" s="546"/>
      <c r="AB8" s="547"/>
      <c r="AC8" s="547"/>
      <c r="AD8" s="547"/>
      <c r="AE8" s="547"/>
      <c r="AF8" s="547"/>
      <c r="AG8" s="547"/>
      <c r="AH8" s="547"/>
      <c r="AI8" s="158"/>
      <c r="AJ8" s="768" t="str">
        <f>IF('基本情報（情報連携シート）'!AH9&lt;&gt;"",'基本情報（情報連携シート）'!AH9,"")</f>
        <v/>
      </c>
      <c r="AK8" s="769"/>
      <c r="AL8" s="769"/>
      <c r="AM8" s="769"/>
      <c r="AN8" s="770"/>
      <c r="AO8" s="768" t="str">
        <f>IF('基本情報（情報連携シート）'!AQ9&lt;&gt;"",'基本情報（情報連携シート）'!AQ9,"")</f>
        <v/>
      </c>
      <c r="AP8" s="769"/>
      <c r="AQ8" s="770"/>
      <c r="AR8" s="768" t="str">
        <f>IF('基本情報（情報連携シート）'!J9&lt;&gt;"",'基本情報（情報連携シート）'!J9,"")</f>
        <v/>
      </c>
      <c r="AS8" s="769"/>
      <c r="AT8" s="769"/>
      <c r="AU8" s="769"/>
      <c r="AV8" s="769"/>
      <c r="AW8" s="769"/>
      <c r="AX8" s="769"/>
      <c r="AY8" s="769"/>
      <c r="AZ8" s="769"/>
      <c r="BA8" s="769"/>
      <c r="BB8" s="770"/>
      <c r="BC8" s="546"/>
      <c r="BD8" s="547"/>
      <c r="BE8" s="560"/>
      <c r="BF8" s="563"/>
      <c r="BG8" s="563"/>
      <c r="BH8" s="564"/>
      <c r="BI8" s="161"/>
    </row>
    <row r="9" spans="1:79" ht="23.45" customHeight="1" x14ac:dyDescent="0.15">
      <c r="A9" s="548"/>
      <c r="B9" s="549"/>
      <c r="C9" s="549"/>
      <c r="D9" s="549"/>
      <c r="E9" s="549"/>
      <c r="F9" s="549"/>
      <c r="G9" s="549"/>
      <c r="H9" s="166" t="s">
        <v>369</v>
      </c>
      <c r="I9" s="824"/>
      <c r="J9" s="825"/>
      <c r="K9" s="825"/>
      <c r="L9" s="825"/>
      <c r="M9" s="825"/>
      <c r="N9" s="825"/>
      <c r="O9" s="825"/>
      <c r="P9" s="825"/>
      <c r="Q9" s="166" t="s">
        <v>369</v>
      </c>
      <c r="R9" s="548"/>
      <c r="S9" s="549"/>
      <c r="T9" s="549"/>
      <c r="U9" s="549"/>
      <c r="V9" s="549"/>
      <c r="W9" s="549"/>
      <c r="X9" s="549"/>
      <c r="Y9" s="549"/>
      <c r="Z9" s="166" t="s">
        <v>369</v>
      </c>
      <c r="AA9" s="548"/>
      <c r="AB9" s="549"/>
      <c r="AC9" s="549"/>
      <c r="AD9" s="549"/>
      <c r="AE9" s="549"/>
      <c r="AF9" s="549"/>
      <c r="AG9" s="549"/>
      <c r="AH9" s="549"/>
      <c r="AI9" s="166" t="s">
        <v>369</v>
      </c>
      <c r="AJ9" s="647"/>
      <c r="AK9" s="648"/>
      <c r="AL9" s="648"/>
      <c r="AM9" s="648"/>
      <c r="AN9" s="649"/>
      <c r="AO9" s="647"/>
      <c r="AP9" s="648"/>
      <c r="AQ9" s="649"/>
      <c r="AR9" s="647"/>
      <c r="AS9" s="648"/>
      <c r="AT9" s="648"/>
      <c r="AU9" s="648"/>
      <c r="AV9" s="648"/>
      <c r="AW9" s="648"/>
      <c r="AX9" s="648"/>
      <c r="AY9" s="648"/>
      <c r="AZ9" s="648"/>
      <c r="BA9" s="648"/>
      <c r="BB9" s="649"/>
      <c r="BC9" s="548"/>
      <c r="BD9" s="549"/>
      <c r="BE9" s="561"/>
      <c r="BF9" s="549"/>
      <c r="BG9" s="549"/>
      <c r="BH9" s="561"/>
      <c r="BI9" s="161"/>
    </row>
    <row r="10" spans="1:79" ht="10.15" customHeight="1" x14ac:dyDescent="0.15">
      <c r="A10" s="160"/>
      <c r="BI10" s="161"/>
    </row>
    <row r="11" spans="1:79" x14ac:dyDescent="0.15">
      <c r="A11" s="546" t="s">
        <v>386</v>
      </c>
      <c r="B11" s="547"/>
      <c r="C11" s="560"/>
      <c r="D11" s="546" t="s">
        <v>387</v>
      </c>
      <c r="E11" s="547"/>
      <c r="F11" s="547"/>
      <c r="G11" s="560"/>
      <c r="H11" s="546" t="s">
        <v>388</v>
      </c>
      <c r="I11" s="547"/>
      <c r="J11" s="547"/>
      <c r="K11" s="560"/>
      <c r="L11" s="546" t="s">
        <v>389</v>
      </c>
      <c r="M11" s="547"/>
      <c r="N11" s="547"/>
      <c r="O11" s="547"/>
      <c r="P11" s="547"/>
      <c r="Q11" s="547"/>
      <c r="R11" s="547"/>
      <c r="S11" s="547"/>
      <c r="T11" s="547"/>
      <c r="U11" s="547"/>
      <c r="V11" s="547"/>
      <c r="W11" s="547"/>
      <c r="X11" s="547"/>
      <c r="Y11" s="547"/>
      <c r="Z11" s="547"/>
      <c r="AA11" s="547"/>
      <c r="AB11" s="547"/>
      <c r="AC11" s="547"/>
      <c r="AD11" s="547"/>
      <c r="AE11" s="547"/>
      <c r="AF11" s="547"/>
      <c r="AG11" s="547"/>
      <c r="AH11" s="547"/>
      <c r="AI11" s="547"/>
      <c r="AJ11" s="547"/>
      <c r="AK11" s="547"/>
      <c r="AL11" s="547"/>
      <c r="AM11" s="547"/>
      <c r="AN11" s="547"/>
      <c r="AO11" s="547"/>
      <c r="AP11" s="547"/>
      <c r="AQ11" s="547"/>
      <c r="AR11" s="547"/>
      <c r="AS11" s="547"/>
      <c r="AT11" s="547"/>
      <c r="AU11" s="547"/>
      <c r="AV11" s="547"/>
      <c r="AW11" s="547"/>
      <c r="AX11" s="547"/>
      <c r="AY11" s="547"/>
      <c r="AZ11" s="547"/>
      <c r="BA11" s="547"/>
      <c r="BB11" s="547"/>
      <c r="BC11" s="547"/>
      <c r="BD11" s="593"/>
      <c r="BE11" s="593"/>
      <c r="BF11" s="593"/>
      <c r="BG11" s="593"/>
      <c r="BH11" s="594"/>
      <c r="BI11" s="161"/>
    </row>
    <row r="12" spans="1:79" ht="18" customHeight="1" x14ac:dyDescent="0.15">
      <c r="A12" s="562"/>
      <c r="B12" s="563"/>
      <c r="C12" s="564"/>
      <c r="D12" s="562"/>
      <c r="E12" s="563"/>
      <c r="F12" s="563"/>
      <c r="G12" s="564"/>
      <c r="H12" s="562"/>
      <c r="I12" s="563"/>
      <c r="J12" s="563"/>
      <c r="K12" s="563"/>
      <c r="L12" s="595" t="s">
        <v>390</v>
      </c>
      <c r="M12" s="593"/>
      <c r="N12" s="593"/>
      <c r="O12" s="593"/>
      <c r="P12" s="593"/>
      <c r="Q12" s="593"/>
      <c r="R12" s="593"/>
      <c r="S12" s="593"/>
      <c r="T12" s="593"/>
      <c r="U12" s="593"/>
      <c r="V12" s="593"/>
      <c r="W12" s="593"/>
      <c r="X12" s="593"/>
      <c r="Y12" s="593"/>
      <c r="Z12" s="594"/>
      <c r="AA12" s="596" t="s">
        <v>391</v>
      </c>
      <c r="AB12" s="597"/>
      <c r="AC12" s="597"/>
      <c r="AD12" s="597"/>
      <c r="AE12" s="597"/>
      <c r="AF12" s="597"/>
      <c r="AG12" s="597"/>
      <c r="AH12" s="597"/>
      <c r="AI12" s="598"/>
      <c r="AJ12" s="599" t="s">
        <v>420</v>
      </c>
      <c r="AK12" s="547"/>
      <c r="AL12" s="547"/>
      <c r="AM12" s="560"/>
      <c r="AN12" s="599" t="s">
        <v>392</v>
      </c>
      <c r="AO12" s="600"/>
      <c r="AP12" s="600"/>
      <c r="AQ12" s="600"/>
      <c r="AR12" s="601"/>
      <c r="AS12" s="546" t="s">
        <v>365</v>
      </c>
      <c r="AT12" s="547"/>
      <c r="AU12" s="547"/>
      <c r="AV12" s="547"/>
      <c r="AW12" s="560"/>
      <c r="AX12" s="546" t="s">
        <v>393</v>
      </c>
      <c r="AY12" s="547"/>
      <c r="AZ12" s="547"/>
      <c r="BA12" s="547"/>
      <c r="BB12" s="547"/>
      <c r="BC12" s="560"/>
      <c r="BD12" s="563" t="s">
        <v>394</v>
      </c>
      <c r="BE12" s="563"/>
      <c r="BF12" s="563"/>
      <c r="BG12" s="563"/>
      <c r="BH12" s="564"/>
      <c r="BI12" s="161"/>
    </row>
    <row r="13" spans="1:79" ht="13.9" customHeight="1" x14ac:dyDescent="0.15">
      <c r="A13" s="562"/>
      <c r="B13" s="563"/>
      <c r="C13" s="564"/>
      <c r="D13" s="590"/>
      <c r="E13" s="591"/>
      <c r="F13" s="591"/>
      <c r="G13" s="592"/>
      <c r="H13" s="590"/>
      <c r="I13" s="591"/>
      <c r="J13" s="591"/>
      <c r="K13" s="591"/>
      <c r="L13" s="546" t="s">
        <v>395</v>
      </c>
      <c r="M13" s="547"/>
      <c r="N13" s="547"/>
      <c r="O13" s="547"/>
      <c r="P13" s="560"/>
      <c r="Q13" s="565" t="s">
        <v>425</v>
      </c>
      <c r="R13" s="615"/>
      <c r="S13" s="615"/>
      <c r="T13" s="615"/>
      <c r="U13" s="616"/>
      <c r="V13" s="546" t="s">
        <v>396</v>
      </c>
      <c r="W13" s="547"/>
      <c r="X13" s="547"/>
      <c r="Y13" s="547"/>
      <c r="Z13" s="560"/>
      <c r="AA13" s="546" t="s">
        <v>312</v>
      </c>
      <c r="AB13" s="547"/>
      <c r="AC13" s="547"/>
      <c r="AD13" s="560"/>
      <c r="AE13" s="565" t="s">
        <v>397</v>
      </c>
      <c r="AF13" s="566"/>
      <c r="AG13" s="566"/>
      <c r="AH13" s="566"/>
      <c r="AI13" s="567"/>
      <c r="AJ13" s="562"/>
      <c r="AK13" s="563"/>
      <c r="AL13" s="563"/>
      <c r="AM13" s="564"/>
      <c r="AN13" s="602"/>
      <c r="AO13" s="603"/>
      <c r="AP13" s="603"/>
      <c r="AQ13" s="603"/>
      <c r="AR13" s="604"/>
      <c r="AS13" s="562"/>
      <c r="AT13" s="563"/>
      <c r="AU13" s="563"/>
      <c r="AV13" s="563"/>
      <c r="AW13" s="564"/>
      <c r="AX13" s="562"/>
      <c r="AY13" s="563"/>
      <c r="AZ13" s="563"/>
      <c r="BA13" s="563"/>
      <c r="BB13" s="563"/>
      <c r="BC13" s="564"/>
      <c r="BD13" s="563"/>
      <c r="BE13" s="563"/>
      <c r="BF13" s="563"/>
      <c r="BG13" s="563"/>
      <c r="BH13" s="564"/>
      <c r="BI13" s="161"/>
    </row>
    <row r="14" spans="1:79" ht="13.9" customHeight="1" x14ac:dyDescent="0.15">
      <c r="A14" s="562"/>
      <c r="B14" s="563"/>
      <c r="C14" s="564"/>
      <c r="D14" s="562" t="s">
        <v>398</v>
      </c>
      <c r="E14" s="563" t="s">
        <v>399</v>
      </c>
      <c r="F14" s="563"/>
      <c r="G14" s="564" t="s">
        <v>400</v>
      </c>
      <c r="H14" s="562" t="s">
        <v>398</v>
      </c>
      <c r="I14" s="563" t="s">
        <v>399</v>
      </c>
      <c r="J14" s="563"/>
      <c r="K14" s="563" t="s">
        <v>400</v>
      </c>
      <c r="L14" s="562"/>
      <c r="M14" s="563"/>
      <c r="N14" s="563"/>
      <c r="O14" s="563"/>
      <c r="P14" s="564"/>
      <c r="Q14" s="617" t="s">
        <v>426</v>
      </c>
      <c r="R14" s="618"/>
      <c r="S14" s="618"/>
      <c r="T14" s="618"/>
      <c r="U14" s="619"/>
      <c r="V14" s="562"/>
      <c r="W14" s="563"/>
      <c r="X14" s="563"/>
      <c r="Y14" s="563"/>
      <c r="Z14" s="564"/>
      <c r="AA14" s="562"/>
      <c r="AB14" s="563"/>
      <c r="AC14" s="563"/>
      <c r="AD14" s="564"/>
      <c r="AE14" s="568"/>
      <c r="AF14" s="569"/>
      <c r="AG14" s="569"/>
      <c r="AH14" s="569"/>
      <c r="AI14" s="570"/>
      <c r="AJ14" s="562"/>
      <c r="AK14" s="563"/>
      <c r="AL14" s="563"/>
      <c r="AM14" s="564"/>
      <c r="AN14" s="602"/>
      <c r="AO14" s="603"/>
      <c r="AP14" s="603"/>
      <c r="AQ14" s="603"/>
      <c r="AR14" s="604"/>
      <c r="AS14" s="562"/>
      <c r="AT14" s="563"/>
      <c r="AU14" s="563"/>
      <c r="AV14" s="563"/>
      <c r="AW14" s="564"/>
      <c r="AX14" s="562"/>
      <c r="AY14" s="563"/>
      <c r="AZ14" s="563"/>
      <c r="BA14" s="563"/>
      <c r="BB14" s="563"/>
      <c r="BC14" s="564"/>
      <c r="BD14" s="563"/>
      <c r="BE14" s="563"/>
      <c r="BF14" s="563"/>
      <c r="BG14" s="563"/>
      <c r="BH14" s="564"/>
      <c r="BI14" s="161"/>
    </row>
    <row r="15" spans="1:79" ht="13.9" customHeight="1" x14ac:dyDescent="0.15">
      <c r="A15" s="562"/>
      <c r="B15" s="563"/>
      <c r="C15" s="564"/>
      <c r="D15" s="562"/>
      <c r="E15" s="563" t="s">
        <v>401</v>
      </c>
      <c r="F15" s="563"/>
      <c r="G15" s="564"/>
      <c r="H15" s="562"/>
      <c r="I15" s="563" t="s">
        <v>401</v>
      </c>
      <c r="J15" s="563"/>
      <c r="K15" s="563"/>
      <c r="L15" s="548"/>
      <c r="M15" s="549"/>
      <c r="N15" s="549"/>
      <c r="O15" s="549"/>
      <c r="P15" s="561"/>
      <c r="Q15" s="620" t="s">
        <v>427</v>
      </c>
      <c r="R15" s="621"/>
      <c r="S15" s="621"/>
      <c r="T15" s="621"/>
      <c r="U15" s="622"/>
      <c r="V15" s="548"/>
      <c r="W15" s="549"/>
      <c r="X15" s="549"/>
      <c r="Y15" s="549"/>
      <c r="Z15" s="561"/>
      <c r="AA15" s="548"/>
      <c r="AB15" s="549"/>
      <c r="AC15" s="549"/>
      <c r="AD15" s="561"/>
      <c r="AE15" s="571"/>
      <c r="AF15" s="572"/>
      <c r="AG15" s="572"/>
      <c r="AH15" s="572"/>
      <c r="AI15" s="573"/>
      <c r="AJ15" s="548"/>
      <c r="AK15" s="549"/>
      <c r="AL15" s="549"/>
      <c r="AM15" s="561"/>
      <c r="AN15" s="167" t="s">
        <v>402</v>
      </c>
      <c r="AO15" s="168"/>
      <c r="AP15" s="168"/>
      <c r="AQ15" s="168" t="s">
        <v>403</v>
      </c>
      <c r="AR15" s="166"/>
      <c r="AS15" s="548"/>
      <c r="AT15" s="549"/>
      <c r="AU15" s="549"/>
      <c r="AV15" s="549"/>
      <c r="AW15" s="561"/>
      <c r="AX15" s="548"/>
      <c r="AY15" s="549"/>
      <c r="AZ15" s="549"/>
      <c r="BA15" s="549"/>
      <c r="BB15" s="549"/>
      <c r="BC15" s="561"/>
      <c r="BD15" s="563"/>
      <c r="BE15" s="563"/>
      <c r="BF15" s="563"/>
      <c r="BG15" s="563"/>
      <c r="BH15" s="564"/>
      <c r="BI15" s="161"/>
    </row>
    <row r="16" spans="1:79" x14ac:dyDescent="0.15">
      <c r="A16" s="813"/>
      <c r="B16" s="787"/>
      <c r="C16" s="788"/>
      <c r="D16" s="644" t="str">
        <f>'本人旅行経路（情報連携シート）'!C29</f>
        <v/>
      </c>
      <c r="E16" s="645"/>
      <c r="F16" s="645"/>
      <c r="G16" s="646"/>
      <c r="H16" s="644" t="str">
        <f>'本人旅行経路（情報連携シート）'!C30</f>
        <v/>
      </c>
      <c r="I16" s="645"/>
      <c r="J16" s="645"/>
      <c r="K16" s="645"/>
      <c r="L16" s="815" t="str">
        <f>IF(D16&lt;&gt;"",IF('本人旅行経路（情報連携シート）'!E29="鉄道",'本人旅行経路（情報連携シート）'!G29,""),"")</f>
        <v/>
      </c>
      <c r="M16" s="816"/>
      <c r="N16" s="816"/>
      <c r="O16" s="816"/>
      <c r="P16" s="169"/>
      <c r="Q16" s="170" t="s">
        <v>421</v>
      </c>
      <c r="R16" s="171" t="s">
        <v>422</v>
      </c>
      <c r="S16" s="171" t="s">
        <v>423</v>
      </c>
      <c r="T16" s="171" t="s">
        <v>424</v>
      </c>
      <c r="U16" s="169"/>
      <c r="V16" s="815" t="str">
        <f>IF(D16&lt;&gt;"",'本人旅行経路（情報連携シート）'!I29,"")</f>
        <v/>
      </c>
      <c r="W16" s="816"/>
      <c r="X16" s="816"/>
      <c r="Y16" s="816"/>
      <c r="Z16" s="169"/>
      <c r="AA16" s="172" t="s">
        <v>429</v>
      </c>
      <c r="AB16" s="173" t="s">
        <v>162</v>
      </c>
      <c r="AC16" s="173"/>
      <c r="AD16" s="169"/>
      <c r="AE16" s="172" t="s">
        <v>421</v>
      </c>
      <c r="AF16" s="173" t="s">
        <v>422</v>
      </c>
      <c r="AG16" s="173" t="s">
        <v>423</v>
      </c>
      <c r="AH16" s="173" t="s">
        <v>424</v>
      </c>
      <c r="AI16" s="169"/>
      <c r="AJ16" s="174" t="s">
        <v>404</v>
      </c>
      <c r="AK16" s="305" t="str">
        <f>IF(D16="","",IF(OR('本人旅行経路（情報連携シート）'!E29="徒歩・その他の交通用具",'本人旅行経路（情報連携シート）'!E29="バス",'本人旅行経路（情報連携シート）'!E29="タクシー"),'本人旅行経路（情報連携シート）'!F29,""))</f>
        <v/>
      </c>
      <c r="AL16" s="175" t="s">
        <v>405</v>
      </c>
      <c r="AM16" s="169" t="s">
        <v>406</v>
      </c>
      <c r="AN16" s="817" t="str">
        <f>BN17</f>
        <v/>
      </c>
      <c r="AO16" s="818"/>
      <c r="AP16" s="818"/>
      <c r="AQ16" s="307" t="str">
        <f>IF(BM17&lt;&gt;"",1,"")</f>
        <v/>
      </c>
      <c r="AR16" s="169" t="s">
        <v>407</v>
      </c>
      <c r="AS16" s="820" t="str">
        <f>IF(BR17&lt;&gt;"",1,"")</f>
        <v/>
      </c>
      <c r="AT16" s="821"/>
      <c r="AU16" s="821"/>
      <c r="AV16" s="821"/>
      <c r="AW16" s="169" t="s">
        <v>408</v>
      </c>
      <c r="AX16" s="194" t="s">
        <v>409</v>
      </c>
      <c r="AY16" s="195"/>
      <c r="AZ16" s="195"/>
      <c r="BA16" s="195"/>
      <c r="BB16" s="195"/>
      <c r="BC16" s="196"/>
      <c r="BD16" s="176"/>
      <c r="BE16" s="176"/>
      <c r="BF16" s="176"/>
      <c r="BG16" s="176"/>
      <c r="BH16" s="177"/>
      <c r="BI16" s="161"/>
      <c r="BK16" s="299" t="s">
        <v>4</v>
      </c>
      <c r="BL16" s="221" t="s">
        <v>484</v>
      </c>
      <c r="BM16" s="301" t="s">
        <v>441</v>
      </c>
      <c r="BN16" s="222" t="s">
        <v>485</v>
      </c>
      <c r="BP16" s="300" t="s">
        <v>4</v>
      </c>
      <c r="BQ16" s="221" t="s">
        <v>484</v>
      </c>
      <c r="BR16" s="222" t="s">
        <v>293</v>
      </c>
      <c r="BS16" s="213"/>
      <c r="BT16" s="213"/>
      <c r="BU16" s="214"/>
      <c r="BV16" s="215"/>
      <c r="BW16" s="215"/>
      <c r="BX16" s="215"/>
      <c r="BY16" s="215"/>
      <c r="BZ16" s="215"/>
      <c r="CA16" s="213"/>
    </row>
    <row r="17" spans="1:79" ht="15.75" x14ac:dyDescent="0.25">
      <c r="A17" s="805"/>
      <c r="B17" s="806"/>
      <c r="C17" s="807"/>
      <c r="D17" s="808"/>
      <c r="E17" s="809"/>
      <c r="F17" s="809"/>
      <c r="G17" s="810"/>
      <c r="H17" s="808"/>
      <c r="I17" s="809"/>
      <c r="J17" s="809"/>
      <c r="K17" s="809"/>
      <c r="L17" s="795"/>
      <c r="M17" s="796"/>
      <c r="N17" s="796"/>
      <c r="O17" s="796"/>
      <c r="P17" s="178" t="s">
        <v>369</v>
      </c>
      <c r="Q17" s="795" t="str">
        <f>IF(D16&lt;&gt;"",IF('本人旅行経路（情報連携シート）'!E9="鉄道",SUM('本人旅行経路（情報連携シート）'!K9,'本人旅行経路（情報連携シート）'!M9,'本人旅行経路（情報連携シート）'!O29),""),"")</f>
        <v/>
      </c>
      <c r="R17" s="796"/>
      <c r="S17" s="796"/>
      <c r="T17" s="796"/>
      <c r="U17" s="178" t="s">
        <v>369</v>
      </c>
      <c r="V17" s="795"/>
      <c r="W17" s="796"/>
      <c r="X17" s="796"/>
      <c r="Y17" s="796"/>
      <c r="Z17" s="178" t="s">
        <v>369</v>
      </c>
      <c r="AA17" s="808" t="str">
        <f>IF(D16&lt;&gt;"",IF(OR('本人旅行経路（情報連携シート）'!E29="船",'本人旅行経路（情報連携シート）'!E29="飛行機",'本人旅行経路（情報連携シート）'!E29="ヘリ"),'本人旅行経路（情報連携シート）'!G29,""),"")</f>
        <v/>
      </c>
      <c r="AB17" s="809"/>
      <c r="AC17" s="809"/>
      <c r="AD17" s="179" t="s">
        <v>26</v>
      </c>
      <c r="AE17" s="808" t="str">
        <f>IF(D16&lt;&gt;"",IF('本人旅行経路（情報連携シート）'!E29="飛行機",SUM('本人旅行経路（情報連携シート）'!K29,'本人旅行経路（情報連携シート）'!Q29),IF('本人旅行経路（情報連携シート）'!E29="船",SUM('本人旅行経路（情報連携シート）'!M29,'本人旅行経路（情報連携シート）'!O29,'本人旅行経路（情報連携シート）'!Q29),IF('本人旅行経路（情報連携シート）'!E29="ヘリ",'本人旅行経路（情報連携シート）'!Q29,""))),"")</f>
        <v/>
      </c>
      <c r="AF17" s="809"/>
      <c r="AG17" s="809"/>
      <c r="AH17" s="809"/>
      <c r="AI17" s="179" t="s">
        <v>369</v>
      </c>
      <c r="AJ17" s="781" t="str">
        <f>IF(D16&lt;&gt;"",IF(OR('本人旅行経路（情報連携シート）'!E29="徒歩・その他の交通用具",'本人旅行経路（情報連携シート）'!E29="タクシー",'本人旅行経路（情報連携シート）'!E29="バス"),'本人旅行経路（情報連携シート）'!G29,""),"")</f>
        <v/>
      </c>
      <c r="AK17" s="782"/>
      <c r="AL17" s="782"/>
      <c r="AM17" s="179" t="s">
        <v>369</v>
      </c>
      <c r="AN17" s="795" t="str">
        <f>BM17</f>
        <v/>
      </c>
      <c r="AO17" s="796"/>
      <c r="AP17" s="796"/>
      <c r="AQ17" s="796"/>
      <c r="AR17" s="179" t="s">
        <v>369</v>
      </c>
      <c r="AS17" s="783" t="str">
        <f>BR17</f>
        <v/>
      </c>
      <c r="AT17" s="784"/>
      <c r="AU17" s="784"/>
      <c r="AV17" s="784"/>
      <c r="AW17" s="179" t="s">
        <v>369</v>
      </c>
      <c r="AX17" s="197" t="s">
        <v>410</v>
      </c>
      <c r="AY17" s="198"/>
      <c r="AZ17" s="198"/>
      <c r="BA17" s="198"/>
      <c r="BB17" s="198"/>
      <c r="BC17" s="199"/>
      <c r="BD17" s="819">
        <f>SUM(AY22,L32,Q32,V32,AA32,AE32,AJ33,AN33,AS33)</f>
        <v>0</v>
      </c>
      <c r="BE17" s="819"/>
      <c r="BF17" s="819"/>
      <c r="BG17" s="819"/>
      <c r="BH17" s="161"/>
      <c r="BI17" s="161"/>
      <c r="BK17" s="541">
        <f>IFERROR(MATCH(A16,'基本情報（情報連携シート）'!$C$125:$C$126,0),0)</f>
        <v>0</v>
      </c>
      <c r="BL17" s="539">
        <f>COUNTIF(BK$17:BK17,BK17)</f>
        <v>1</v>
      </c>
      <c r="BM17" s="541" t="str">
        <f>IF(AND(BK17&lt;&gt;0,BL17=1),INDEX('基本情報（情報連携シート）'!$D$125:$D$126,BK17),"")</f>
        <v/>
      </c>
      <c r="BN17" s="539" t="str">
        <f>IF(AND(BK17=1,BL17=1,BM17&lt;&gt;""),'基本情報（情報連携シート）'!$F$64,IF(AND(BK17=2,BL17=1,BM17&lt;&gt;""),'基本情報（情報連携シート）'!$F$65,""))</f>
        <v/>
      </c>
      <c r="BP17" s="541">
        <f>IFERROR(MATCH(A16,'基本情報（情報連携シート）'!$C$129:$C$132,0),0)</f>
        <v>0</v>
      </c>
      <c r="BQ17" s="539">
        <f>COUNTIF(BP$17:BP17,BP17)</f>
        <v>1</v>
      </c>
      <c r="BR17" s="541" t="str">
        <f>IF(AND(BP17&lt;&gt;0,BQ17=1),INDEX('基本情報（情報連携シート）'!$D$129:$D$132,BP17),"")</f>
        <v/>
      </c>
      <c r="BS17" s="216"/>
      <c r="BT17" s="216"/>
      <c r="BU17" s="212"/>
      <c r="BV17" s="212"/>
      <c r="BW17" s="212"/>
      <c r="BX17" s="212"/>
      <c r="BY17" s="212"/>
      <c r="BZ17" s="212"/>
      <c r="CA17" s="217"/>
    </row>
    <row r="18" spans="1:79" ht="15.75" x14ac:dyDescent="0.25">
      <c r="A18" s="813"/>
      <c r="B18" s="787"/>
      <c r="C18" s="788"/>
      <c r="D18" s="644" t="str">
        <f>'本人旅行経路（情報連携シート）'!C31</f>
        <v/>
      </c>
      <c r="E18" s="645"/>
      <c r="F18" s="645"/>
      <c r="G18" s="646"/>
      <c r="H18" s="644" t="str">
        <f>'本人旅行経路（情報連携シート）'!C32</f>
        <v/>
      </c>
      <c r="I18" s="645"/>
      <c r="J18" s="645"/>
      <c r="K18" s="645"/>
      <c r="L18" s="795" t="str">
        <f>IF(D18&lt;&gt;"",IF('本人旅行経路（情報連携シート）'!E31="鉄道",'本人旅行経路（情報連携シート）'!G31,""),"")</f>
        <v/>
      </c>
      <c r="M18" s="796"/>
      <c r="N18" s="796"/>
      <c r="O18" s="796"/>
      <c r="P18" s="178"/>
      <c r="Q18" s="180" t="s">
        <v>421</v>
      </c>
      <c r="R18" s="181" t="s">
        <v>422</v>
      </c>
      <c r="S18" s="181" t="s">
        <v>423</v>
      </c>
      <c r="T18" s="181" t="s">
        <v>424</v>
      </c>
      <c r="U18" s="178"/>
      <c r="V18" s="795" t="str">
        <f>IF(D18&lt;&gt;"",'本人旅行経路（情報連携シート）'!I31,"")</f>
        <v/>
      </c>
      <c r="W18" s="796"/>
      <c r="X18" s="796"/>
      <c r="Y18" s="796"/>
      <c r="Z18" s="178"/>
      <c r="AA18" s="182" t="s">
        <v>428</v>
      </c>
      <c r="AB18" s="183" t="s">
        <v>161</v>
      </c>
      <c r="AC18" s="183"/>
      <c r="AD18" s="178"/>
      <c r="AE18" s="182" t="s">
        <v>431</v>
      </c>
      <c r="AF18" s="183" t="s">
        <v>432</v>
      </c>
      <c r="AG18" s="183" t="s">
        <v>434</v>
      </c>
      <c r="AH18" s="183" t="s">
        <v>436</v>
      </c>
      <c r="AI18" s="178"/>
      <c r="AJ18" s="200" t="s">
        <v>404</v>
      </c>
      <c r="AK18" s="306" t="str">
        <f>IF(D18="","",IF(OR('本人旅行経路（情報連携シート）'!E31="徒歩・その他の交通用具",'本人旅行経路（情報連携シート）'!E31="バス",'本人旅行経路（情報連携シート）'!E31="タクシー"),'本人旅行経路（情報連携シート）'!F31,""))</f>
        <v/>
      </c>
      <c r="AL18" s="185" t="s">
        <v>405</v>
      </c>
      <c r="AM18" s="178" t="s">
        <v>406</v>
      </c>
      <c r="AN18" s="799" t="str">
        <f>BN19</f>
        <v/>
      </c>
      <c r="AO18" s="800"/>
      <c r="AP18" s="800"/>
      <c r="AQ18" s="308" t="str">
        <f>IF(BM19&lt;&gt;"",1,"")</f>
        <v/>
      </c>
      <c r="AR18" s="178" t="s">
        <v>407</v>
      </c>
      <c r="AS18" s="781" t="str">
        <f>IF(BR19&lt;&gt;"",1,"")</f>
        <v/>
      </c>
      <c r="AT18" s="782"/>
      <c r="AU18" s="782"/>
      <c r="AV18" s="782"/>
      <c r="AW18" s="177" t="s">
        <v>408</v>
      </c>
      <c r="AX18" s="197"/>
      <c r="AY18" s="814"/>
      <c r="AZ18" s="814"/>
      <c r="BA18" s="814"/>
      <c r="BB18" s="814"/>
      <c r="BC18" s="199" t="s">
        <v>369</v>
      </c>
      <c r="BD18" s="819"/>
      <c r="BE18" s="819"/>
      <c r="BF18" s="819"/>
      <c r="BG18" s="819"/>
      <c r="BH18" s="161" t="s">
        <v>369</v>
      </c>
      <c r="BI18" s="161"/>
      <c r="BK18" s="541"/>
      <c r="BL18" s="540"/>
      <c r="BM18" s="541"/>
      <c r="BN18" s="540"/>
      <c r="BP18" s="541"/>
      <c r="BQ18" s="540"/>
      <c r="BR18" s="541"/>
      <c r="BS18" s="216"/>
      <c r="BT18" s="211"/>
      <c r="BU18" s="218"/>
      <c r="BV18" s="218"/>
      <c r="BW18" s="212"/>
      <c r="BX18" s="212"/>
      <c r="BY18" s="212"/>
      <c r="BZ18" s="212"/>
      <c r="CA18" s="219"/>
    </row>
    <row r="19" spans="1:79" ht="15.75" x14ac:dyDescent="0.25">
      <c r="A19" s="805"/>
      <c r="B19" s="806"/>
      <c r="C19" s="807"/>
      <c r="D19" s="808"/>
      <c r="E19" s="809"/>
      <c r="F19" s="809"/>
      <c r="G19" s="810"/>
      <c r="H19" s="808"/>
      <c r="I19" s="809"/>
      <c r="J19" s="809"/>
      <c r="K19" s="809"/>
      <c r="L19" s="795"/>
      <c r="M19" s="796"/>
      <c r="N19" s="796"/>
      <c r="O19" s="796"/>
      <c r="P19" s="178" t="s">
        <v>369</v>
      </c>
      <c r="Q19" s="795" t="str">
        <f>IF(D18&lt;&gt;"",IF('本人旅行経路（情報連携シート）'!E11="鉄道",SUM('本人旅行経路（情報連携シート）'!K11,'本人旅行経路（情報連携シート）'!M11,'本人旅行経路（情報連携シート）'!O31),""),"")</f>
        <v/>
      </c>
      <c r="R19" s="796"/>
      <c r="S19" s="796"/>
      <c r="T19" s="796"/>
      <c r="U19" s="178" t="s">
        <v>369</v>
      </c>
      <c r="V19" s="795"/>
      <c r="W19" s="796"/>
      <c r="X19" s="796"/>
      <c r="Y19" s="796"/>
      <c r="Z19" s="178" t="s">
        <v>369</v>
      </c>
      <c r="AA19" s="808" t="str">
        <f>IF(D18&lt;&gt;"",IF(OR('本人旅行経路（情報連携シート）'!E31="船",'本人旅行経路（情報連携シート）'!E31="飛行機",'本人旅行経路（情報連携シート）'!E31="ヘリ"),'本人旅行経路（情報連携シート）'!G31,""),"")</f>
        <v/>
      </c>
      <c r="AB19" s="809"/>
      <c r="AC19" s="809"/>
      <c r="AD19" s="179" t="s">
        <v>26</v>
      </c>
      <c r="AE19" s="808" t="str">
        <f>IF(D18&lt;&gt;"",IF('本人旅行経路（情報連携シート）'!E31="飛行機",SUM('本人旅行経路（情報連携シート）'!K31,'本人旅行経路（情報連携シート）'!Q31),IF('本人旅行経路（情報連携シート）'!E31="船",SUM('本人旅行経路（情報連携シート）'!M31,'本人旅行経路（情報連携シート）'!O31,'本人旅行経路（情報連携シート）'!Q31),IF('本人旅行経路（情報連携シート）'!E31="ヘリ",'本人旅行経路（情報連携シート）'!Q31,""))),"")</f>
        <v/>
      </c>
      <c r="AF19" s="809"/>
      <c r="AG19" s="809"/>
      <c r="AH19" s="809"/>
      <c r="AI19" s="179" t="s">
        <v>369</v>
      </c>
      <c r="AJ19" s="781" t="str">
        <f>IF(D18&lt;&gt;"",IF(OR('本人旅行経路（情報連携シート）'!E31="徒歩・その他の交通用具",'本人旅行経路（情報連携シート）'!E31="タクシー",'本人旅行経路（情報連携シート）'!E31="バス"),'本人旅行経路（情報連携シート）'!G31,""),"")</f>
        <v/>
      </c>
      <c r="AK19" s="782"/>
      <c r="AL19" s="782"/>
      <c r="AM19" s="179" t="s">
        <v>369</v>
      </c>
      <c r="AN19" s="783" t="str">
        <f>BM19</f>
        <v/>
      </c>
      <c r="AO19" s="784"/>
      <c r="AP19" s="784"/>
      <c r="AQ19" s="784"/>
      <c r="AR19" s="179" t="s">
        <v>369</v>
      </c>
      <c r="AS19" s="783" t="str">
        <f>BR19</f>
        <v/>
      </c>
      <c r="AT19" s="784"/>
      <c r="AU19" s="784"/>
      <c r="AV19" s="784"/>
      <c r="AW19" s="179" t="s">
        <v>369</v>
      </c>
      <c r="AX19" s="197" t="s">
        <v>411</v>
      </c>
      <c r="AY19" s="198"/>
      <c r="AZ19" s="198"/>
      <c r="BA19" s="198"/>
      <c r="BB19" s="198"/>
      <c r="BC19" s="199"/>
      <c r="BD19" s="698" t="s">
        <v>412</v>
      </c>
      <c r="BE19" s="698"/>
      <c r="BF19" s="698"/>
      <c r="BG19" s="698"/>
      <c r="BH19" s="699"/>
      <c r="BI19" s="161"/>
      <c r="BK19" s="541">
        <f>IFERROR(MATCH(A18,'基本情報（情報連携シート）'!$C$125:$C$126,0),0)</f>
        <v>0</v>
      </c>
      <c r="BL19" s="539">
        <f>COUNTIF(BK$17:BK19,BK19)</f>
        <v>2</v>
      </c>
      <c r="BM19" s="541" t="str">
        <f>IF(AND(BK19&lt;&gt;0,BL19=1),INDEX('基本情報（情報連携シート）'!$D$125:$D$126,BK19),"")</f>
        <v/>
      </c>
      <c r="BN19" s="539" t="str">
        <f>IF(AND(BK19=1,BL19=1,BM19&lt;&gt;""),'基本情報（情報連携シート）'!$F$64,IF(AND(BK19=2,BL19=1,BM19&lt;&gt;""),'基本情報（情報連携シート）'!$F$65,""))</f>
        <v/>
      </c>
      <c r="BP19" s="541">
        <f>IFERROR(MATCH(A18,'基本情報（情報連携シート）'!$C$129:$C$132,0),0)</f>
        <v>0</v>
      </c>
      <c r="BQ19" s="539">
        <f>COUNTIF(BP$17:BP19,BP19)</f>
        <v>2</v>
      </c>
      <c r="BR19" s="541" t="str">
        <f>IF(AND(BP19&lt;&gt;0,BQ19=1),INDEX('基本情報（情報連携シート）'!$D$129:$D$132,BP19),"")</f>
        <v/>
      </c>
      <c r="BS19" s="216"/>
      <c r="BT19" s="216"/>
      <c r="BU19" s="212"/>
      <c r="BV19" s="218"/>
      <c r="BW19" s="218"/>
      <c r="BX19" s="212"/>
      <c r="BY19" s="212"/>
      <c r="BZ19" s="212"/>
      <c r="CA19" s="219"/>
    </row>
    <row r="20" spans="1:79" ht="15.75" x14ac:dyDescent="0.25">
      <c r="A20" s="813"/>
      <c r="B20" s="787"/>
      <c r="C20" s="788"/>
      <c r="D20" s="644" t="str">
        <f>'本人旅行経路（情報連携シート）'!C33</f>
        <v/>
      </c>
      <c r="E20" s="645"/>
      <c r="F20" s="645"/>
      <c r="G20" s="646"/>
      <c r="H20" s="644" t="str">
        <f>'本人旅行経路（情報連携シート）'!C34</f>
        <v/>
      </c>
      <c r="I20" s="645"/>
      <c r="J20" s="645"/>
      <c r="K20" s="645"/>
      <c r="L20" s="795" t="str">
        <f>IF(D20&lt;&gt;"",IF('本人旅行経路（情報連携シート）'!E33="鉄道",'本人旅行経路（情報連携シート）'!G33,""),"")</f>
        <v/>
      </c>
      <c r="M20" s="796"/>
      <c r="N20" s="796"/>
      <c r="O20" s="796"/>
      <c r="P20" s="178"/>
      <c r="Q20" s="180" t="s">
        <v>421</v>
      </c>
      <c r="R20" s="181" t="s">
        <v>422</v>
      </c>
      <c r="S20" s="181" t="s">
        <v>423</v>
      </c>
      <c r="T20" s="181" t="s">
        <v>424</v>
      </c>
      <c r="U20" s="178"/>
      <c r="V20" s="795" t="str">
        <f>IF(D20&lt;&gt;"",'本人旅行経路（情報連携シート）'!I33,"")</f>
        <v/>
      </c>
      <c r="W20" s="796"/>
      <c r="X20" s="796"/>
      <c r="Y20" s="796"/>
      <c r="Z20" s="178"/>
      <c r="AA20" s="182" t="s">
        <v>428</v>
      </c>
      <c r="AB20" s="183" t="s">
        <v>161</v>
      </c>
      <c r="AC20" s="183"/>
      <c r="AD20" s="178"/>
      <c r="AE20" s="182" t="s">
        <v>431</v>
      </c>
      <c r="AF20" s="183" t="s">
        <v>432</v>
      </c>
      <c r="AG20" s="183" t="s">
        <v>434</v>
      </c>
      <c r="AH20" s="183" t="s">
        <v>436</v>
      </c>
      <c r="AI20" s="178"/>
      <c r="AJ20" s="184" t="s">
        <v>404</v>
      </c>
      <c r="AK20" s="306" t="str">
        <f>IF(D20="","",IF(OR('本人旅行経路（情報連携シート）'!E33="徒歩・その他の交通用具",'本人旅行経路（情報連携シート）'!E33="バス",'本人旅行経路（情報連携シート）'!E33="タクシー"),'本人旅行経路（情報連携シート）'!F33,""))</f>
        <v/>
      </c>
      <c r="AL20" s="185" t="s">
        <v>405</v>
      </c>
      <c r="AM20" s="178" t="s">
        <v>406</v>
      </c>
      <c r="AN20" s="799" t="str">
        <f>BN21</f>
        <v/>
      </c>
      <c r="AO20" s="800"/>
      <c r="AP20" s="800"/>
      <c r="AQ20" s="308" t="str">
        <f>IF(BM21&lt;&gt;"",1,"")</f>
        <v/>
      </c>
      <c r="AR20" s="178" t="s">
        <v>407</v>
      </c>
      <c r="AS20" s="781" t="str">
        <f>IF(BR21&lt;&gt;"",1,"")</f>
        <v/>
      </c>
      <c r="AT20" s="782"/>
      <c r="AU20" s="782"/>
      <c r="AV20" s="782"/>
      <c r="AW20" s="177" t="s">
        <v>408</v>
      </c>
      <c r="AX20" s="197"/>
      <c r="AY20" s="814"/>
      <c r="AZ20" s="814"/>
      <c r="BA20" s="814"/>
      <c r="BB20" s="814"/>
      <c r="BC20" s="199" t="s">
        <v>369</v>
      </c>
      <c r="BD20" s="563"/>
      <c r="BE20" s="563"/>
      <c r="BF20" s="563"/>
      <c r="BG20" s="563"/>
      <c r="BH20" s="564"/>
      <c r="BI20" s="161"/>
      <c r="BK20" s="541"/>
      <c r="BL20" s="540"/>
      <c r="BM20" s="541"/>
      <c r="BN20" s="540"/>
      <c r="BP20" s="541"/>
      <c r="BQ20" s="540"/>
      <c r="BR20" s="541"/>
      <c r="BS20" s="212"/>
      <c r="BT20" s="216"/>
      <c r="BU20" s="212"/>
      <c r="BV20" s="218"/>
      <c r="BW20" s="212"/>
      <c r="BX20" s="212"/>
      <c r="BY20" s="212"/>
      <c r="BZ20" s="212"/>
      <c r="CA20" s="219"/>
    </row>
    <row r="21" spans="1:79" ht="15.75" x14ac:dyDescent="0.25">
      <c r="A21" s="805"/>
      <c r="B21" s="806"/>
      <c r="C21" s="807"/>
      <c r="D21" s="808"/>
      <c r="E21" s="809"/>
      <c r="F21" s="809"/>
      <c r="G21" s="810"/>
      <c r="H21" s="808"/>
      <c r="I21" s="809"/>
      <c r="J21" s="809"/>
      <c r="K21" s="809"/>
      <c r="L21" s="795"/>
      <c r="M21" s="796"/>
      <c r="N21" s="796"/>
      <c r="O21" s="796"/>
      <c r="P21" s="178" t="s">
        <v>369</v>
      </c>
      <c r="Q21" s="795" t="str">
        <f>IF(D20&lt;&gt;"",IF('本人旅行経路（情報連携シート）'!E13="鉄道",SUM('本人旅行経路（情報連携シート）'!K13,'本人旅行経路（情報連携シート）'!M13,'本人旅行経路（情報連携シート）'!O33),""),"")</f>
        <v/>
      </c>
      <c r="R21" s="796"/>
      <c r="S21" s="796"/>
      <c r="T21" s="796"/>
      <c r="U21" s="178" t="s">
        <v>369</v>
      </c>
      <c r="V21" s="795"/>
      <c r="W21" s="796"/>
      <c r="X21" s="796"/>
      <c r="Y21" s="796"/>
      <c r="Z21" s="178" t="s">
        <v>369</v>
      </c>
      <c r="AA21" s="808" t="str">
        <f>IF(D20&lt;&gt;"",IF(OR('本人旅行経路（情報連携シート）'!E33="船",'本人旅行経路（情報連携シート）'!E33="飛行機",'本人旅行経路（情報連携シート）'!E33="ヘリ"),'本人旅行経路（情報連携シート）'!G33,""),"")</f>
        <v/>
      </c>
      <c r="AB21" s="809"/>
      <c r="AC21" s="809"/>
      <c r="AD21" s="179" t="s">
        <v>26</v>
      </c>
      <c r="AE21" s="808" t="str">
        <f>IF(D20&lt;&gt;"",IF('本人旅行経路（情報連携シート）'!E33="飛行機",SUM('本人旅行経路（情報連携シート）'!K33,'本人旅行経路（情報連携シート）'!Q33),IF('本人旅行経路（情報連携シート）'!E33="船",SUM('本人旅行経路（情報連携シート）'!M33,'本人旅行経路（情報連携シート）'!O33,'本人旅行経路（情報連携シート）'!Q33),IF('本人旅行経路（情報連携シート）'!E33="ヘリ",'本人旅行経路（情報連携シート）'!Q33,""))),"")</f>
        <v/>
      </c>
      <c r="AF21" s="809"/>
      <c r="AG21" s="809"/>
      <c r="AH21" s="809"/>
      <c r="AI21" s="179" t="s">
        <v>369</v>
      </c>
      <c r="AJ21" s="781" t="str">
        <f>IF(D20&lt;&gt;"",IF(OR('本人旅行経路（情報連携シート）'!E33="徒歩・その他の交通用具",'本人旅行経路（情報連携シート）'!E33="タクシー",'本人旅行経路（情報連携シート）'!E33="バス"),'本人旅行経路（情報連携シート）'!G33,""),"")</f>
        <v/>
      </c>
      <c r="AK21" s="782"/>
      <c r="AL21" s="782"/>
      <c r="AM21" s="179" t="s">
        <v>369</v>
      </c>
      <c r="AN21" s="783" t="str">
        <f>BM21</f>
        <v/>
      </c>
      <c r="AO21" s="784"/>
      <c r="AP21" s="784"/>
      <c r="AQ21" s="784"/>
      <c r="AR21" s="179" t="s">
        <v>369</v>
      </c>
      <c r="AS21" s="783" t="str">
        <f>BR21</f>
        <v/>
      </c>
      <c r="AT21" s="784"/>
      <c r="AU21" s="784"/>
      <c r="AV21" s="784"/>
      <c r="AW21" s="179" t="s">
        <v>369</v>
      </c>
      <c r="AX21" s="197" t="s">
        <v>413</v>
      </c>
      <c r="AY21" s="198"/>
      <c r="AZ21" s="198"/>
      <c r="BA21" s="198"/>
      <c r="BB21" s="198"/>
      <c r="BC21" s="199"/>
      <c r="BD21" s="563"/>
      <c r="BE21" s="563"/>
      <c r="BF21" s="563"/>
      <c r="BG21" s="563"/>
      <c r="BH21" s="564"/>
      <c r="BI21" s="161"/>
      <c r="BK21" s="541">
        <f>IFERROR(MATCH(A20,'基本情報（情報連携シート）'!$C$125:$C$126,0),0)</f>
        <v>0</v>
      </c>
      <c r="BL21" s="539">
        <f>COUNTIF(BK$17:BK21,BK21)</f>
        <v>3</v>
      </c>
      <c r="BM21" s="541" t="str">
        <f>IF(AND(BK21&lt;&gt;0,BL21=1),INDEX('基本情報（情報連携シート）'!$D$125:$D$126,BK21),"")</f>
        <v/>
      </c>
      <c r="BN21" s="539" t="str">
        <f>IF(AND(BK21=1,BL21=1,BM21&lt;&gt;""),'基本情報（情報連携シート）'!$F$64,IF(AND(BK21=2,BL21=1,BM21&lt;&gt;""),'基本情報（情報連携シート）'!$F$65,""))</f>
        <v/>
      </c>
      <c r="BP21" s="541">
        <f>IFERROR(MATCH(A20,'基本情報（情報連携シート）'!$C$129:$C$132,0),0)</f>
        <v>0</v>
      </c>
      <c r="BQ21" s="539">
        <f>COUNTIF(BP$17:BP21,BP21)</f>
        <v>3</v>
      </c>
      <c r="BR21" s="541" t="str">
        <f>IF(AND(BP21&lt;&gt;0,BQ21=1),INDEX('基本情報（情報連携シート）'!$D$129:$D$132,BP21),"")</f>
        <v/>
      </c>
      <c r="BS21" s="219"/>
      <c r="BT21" s="216"/>
      <c r="BU21" s="212"/>
      <c r="BV21" s="220"/>
      <c r="BW21" s="220"/>
      <c r="BX21" s="220"/>
      <c r="BY21" s="220"/>
      <c r="BZ21" s="220"/>
      <c r="CA21" s="220"/>
    </row>
    <row r="22" spans="1:79" x14ac:dyDescent="0.15">
      <c r="A22" s="786"/>
      <c r="B22" s="787"/>
      <c r="C22" s="788"/>
      <c r="D22" s="644" t="str">
        <f>'本人旅行経路（情報連携シート）'!C35</f>
        <v/>
      </c>
      <c r="E22" s="645"/>
      <c r="F22" s="645"/>
      <c r="G22" s="646"/>
      <c r="H22" s="644" t="str">
        <f>'本人旅行経路（情報連携シート）'!C36</f>
        <v/>
      </c>
      <c r="I22" s="645"/>
      <c r="J22" s="645"/>
      <c r="K22" s="645"/>
      <c r="L22" s="795" t="str">
        <f>IF(D22&lt;&gt;"",IF('本人旅行経路（情報連携シート）'!E35="鉄道",'本人旅行経路（情報連携シート）'!G35,""),"")</f>
        <v/>
      </c>
      <c r="M22" s="796"/>
      <c r="N22" s="796"/>
      <c r="O22" s="796"/>
      <c r="P22" s="178"/>
      <c r="Q22" s="180" t="s">
        <v>421</v>
      </c>
      <c r="R22" s="181" t="s">
        <v>422</v>
      </c>
      <c r="S22" s="181" t="s">
        <v>423</v>
      </c>
      <c r="T22" s="181" t="s">
        <v>424</v>
      </c>
      <c r="U22" s="178"/>
      <c r="V22" s="795" t="str">
        <f>IF(D22&lt;&gt;"",'本人旅行経路（情報連携シート）'!I35,"")</f>
        <v/>
      </c>
      <c r="W22" s="796"/>
      <c r="X22" s="796"/>
      <c r="Y22" s="796"/>
      <c r="Z22" s="178"/>
      <c r="AA22" s="182" t="s">
        <v>428</v>
      </c>
      <c r="AB22" s="183" t="s">
        <v>161</v>
      </c>
      <c r="AC22" s="183"/>
      <c r="AD22" s="178"/>
      <c r="AE22" s="182" t="s">
        <v>431</v>
      </c>
      <c r="AF22" s="183" t="s">
        <v>432</v>
      </c>
      <c r="AG22" s="183" t="s">
        <v>434</v>
      </c>
      <c r="AH22" s="183" t="s">
        <v>436</v>
      </c>
      <c r="AI22" s="178"/>
      <c r="AJ22" s="184" t="s">
        <v>404</v>
      </c>
      <c r="AK22" s="306" t="str">
        <f>IF(D22="","",IF(OR('本人旅行経路（情報連携シート）'!E35="徒歩・その他の交通用具",'本人旅行経路（情報連携シート）'!E35="バス",'本人旅行経路（情報連携シート）'!E35="タクシー"),'本人旅行経路（情報連携シート）'!F35,""))</f>
        <v/>
      </c>
      <c r="AL22" s="185" t="s">
        <v>405</v>
      </c>
      <c r="AM22" s="178" t="s">
        <v>406</v>
      </c>
      <c r="AN22" s="799" t="str">
        <f>BN23</f>
        <v/>
      </c>
      <c r="AO22" s="800"/>
      <c r="AP22" s="800"/>
      <c r="AQ22" s="308" t="str">
        <f>IF(BM23&lt;&gt;"",1,"")</f>
        <v/>
      </c>
      <c r="AR22" s="178" t="s">
        <v>407</v>
      </c>
      <c r="AS22" s="781" t="str">
        <f>IF(BR23&lt;&gt;"",1,"")</f>
        <v/>
      </c>
      <c r="AT22" s="782"/>
      <c r="AU22" s="782"/>
      <c r="AV22" s="782"/>
      <c r="AW22" s="177" t="s">
        <v>408</v>
      </c>
      <c r="AX22" s="201"/>
      <c r="AY22" s="811"/>
      <c r="AZ22" s="812"/>
      <c r="BA22" s="812"/>
      <c r="BB22" s="812"/>
      <c r="BC22" s="202" t="s">
        <v>369</v>
      </c>
      <c r="BD22" s="563"/>
      <c r="BE22" s="563"/>
      <c r="BF22" s="563"/>
      <c r="BG22" s="563"/>
      <c r="BH22" s="564"/>
      <c r="BI22" s="161"/>
      <c r="BK22" s="541"/>
      <c r="BL22" s="540"/>
      <c r="BM22" s="541"/>
      <c r="BN22" s="540"/>
      <c r="BP22" s="541"/>
      <c r="BQ22" s="540"/>
      <c r="BR22" s="541"/>
    </row>
    <row r="23" spans="1:79" x14ac:dyDescent="0.15">
      <c r="A23" s="805"/>
      <c r="B23" s="806"/>
      <c r="C23" s="807"/>
      <c r="D23" s="808"/>
      <c r="E23" s="809"/>
      <c r="F23" s="809"/>
      <c r="G23" s="810"/>
      <c r="H23" s="808"/>
      <c r="I23" s="809"/>
      <c r="J23" s="809"/>
      <c r="K23" s="809"/>
      <c r="L23" s="795"/>
      <c r="M23" s="796"/>
      <c r="N23" s="796"/>
      <c r="O23" s="796"/>
      <c r="P23" s="178" t="s">
        <v>369</v>
      </c>
      <c r="Q23" s="795" t="str">
        <f>IF(D22&lt;&gt;"",IF('本人旅行経路（情報連携シート）'!E15="鉄道",SUM('本人旅行経路（情報連携シート）'!K15,'本人旅行経路（情報連携シート）'!M15,'本人旅行経路（情報連携シート）'!O35),""),"")</f>
        <v/>
      </c>
      <c r="R23" s="796"/>
      <c r="S23" s="796"/>
      <c r="T23" s="796"/>
      <c r="U23" s="178" t="s">
        <v>369</v>
      </c>
      <c r="V23" s="795"/>
      <c r="W23" s="796"/>
      <c r="X23" s="796"/>
      <c r="Y23" s="796"/>
      <c r="Z23" s="178" t="s">
        <v>369</v>
      </c>
      <c r="AA23" s="808" t="str">
        <f>IF(D22&lt;&gt;"",IF(OR('本人旅行経路（情報連携シート）'!E35="船",'本人旅行経路（情報連携シート）'!E35="飛行機",'本人旅行経路（情報連携シート）'!E35="ヘリ"),'本人旅行経路（情報連携シート）'!G35,""),"")</f>
        <v/>
      </c>
      <c r="AB23" s="809"/>
      <c r="AC23" s="809"/>
      <c r="AD23" s="179" t="s">
        <v>26</v>
      </c>
      <c r="AE23" s="808" t="str">
        <f>IF(D22&lt;&gt;"",IF('本人旅行経路（情報連携シート）'!E35="飛行機",SUM('本人旅行経路（情報連携シート）'!K35,'本人旅行経路（情報連携シート）'!Q35),IF('本人旅行経路（情報連携シート）'!E35="船",SUM('本人旅行経路（情報連携シート）'!M35,'本人旅行経路（情報連携シート）'!O35,'本人旅行経路（情報連携シート）'!Q35),IF('本人旅行経路（情報連携シート）'!E35="ヘリ",'本人旅行経路（情報連携シート）'!Q35,""))),"")</f>
        <v/>
      </c>
      <c r="AF23" s="809"/>
      <c r="AG23" s="809"/>
      <c r="AH23" s="809"/>
      <c r="AI23" s="179" t="s">
        <v>369</v>
      </c>
      <c r="AJ23" s="781" t="str">
        <f>IF(D22&lt;&gt;"",IF(OR('本人旅行経路（情報連携シート）'!E35="徒歩・その他の交通用具",'本人旅行経路（情報連携シート）'!E35="タクシー",'本人旅行経路（情報連携シート）'!E35="バス"),'本人旅行経路（情報連携シート）'!G35,""),"")</f>
        <v/>
      </c>
      <c r="AK23" s="782"/>
      <c r="AL23" s="782"/>
      <c r="AM23" s="179" t="s">
        <v>369</v>
      </c>
      <c r="AN23" s="783" t="str">
        <f>BM23</f>
        <v/>
      </c>
      <c r="AO23" s="784"/>
      <c r="AP23" s="784"/>
      <c r="AQ23" s="784"/>
      <c r="AR23" s="179" t="s">
        <v>369</v>
      </c>
      <c r="AS23" s="783" t="str">
        <f>BR23</f>
        <v/>
      </c>
      <c r="AT23" s="784"/>
      <c r="AU23" s="784"/>
      <c r="AV23" s="784"/>
      <c r="AW23" s="179" t="s">
        <v>369</v>
      </c>
      <c r="AX23" s="203" t="s">
        <v>366</v>
      </c>
      <c r="AY23" s="204"/>
      <c r="AZ23" s="204"/>
      <c r="BA23" s="204"/>
      <c r="BB23" s="204"/>
      <c r="BC23" s="196"/>
      <c r="BD23" s="563"/>
      <c r="BE23" s="563"/>
      <c r="BF23" s="563"/>
      <c r="BG23" s="563"/>
      <c r="BH23" s="564"/>
      <c r="BI23" s="161"/>
      <c r="BK23" s="541">
        <f>IFERROR(MATCH(A22,'基本情報（情報連携シート）'!$C$125:$C$126,0),0)</f>
        <v>0</v>
      </c>
      <c r="BL23" s="539">
        <f>COUNTIF(BK$17:BK23,BK23)</f>
        <v>4</v>
      </c>
      <c r="BM23" s="541" t="str">
        <f>IF(AND(BK23&lt;&gt;0,BL23=1),INDEX('基本情報（情報連携シート）'!$D$125:$D$126,BK23),"")</f>
        <v/>
      </c>
      <c r="BN23" s="539" t="str">
        <f>IF(AND(BK23=1,BL23=1,BM23&lt;&gt;""),'基本情報（情報連携シート）'!$F$64,IF(AND(BK23=2,BL23=1,BM23&lt;&gt;""),'基本情報（情報連携シート）'!$F$65,""))</f>
        <v/>
      </c>
      <c r="BP23" s="541">
        <f>IFERROR(MATCH(A22,'基本情報（情報連携シート）'!$C$129:$C$132,0),0)</f>
        <v>0</v>
      </c>
      <c r="BQ23" s="539">
        <f>COUNTIF(BP$17:BP23,BP23)</f>
        <v>4</v>
      </c>
      <c r="BR23" s="541" t="str">
        <f>IF(AND(BP23&lt;&gt;0,BQ23=1),INDEX('基本情報（情報連携シート）'!$D$129:$D$132,BP23),"")</f>
        <v/>
      </c>
    </row>
    <row r="24" spans="1:79" x14ac:dyDescent="0.15">
      <c r="A24" s="786"/>
      <c r="B24" s="787"/>
      <c r="C24" s="788"/>
      <c r="D24" s="644" t="str">
        <f>'本人旅行経路（情報連携シート）'!C37</f>
        <v/>
      </c>
      <c r="E24" s="645"/>
      <c r="F24" s="645"/>
      <c r="G24" s="646"/>
      <c r="H24" s="644" t="str">
        <f>'本人旅行経路（情報連携シート）'!C38</f>
        <v/>
      </c>
      <c r="I24" s="645"/>
      <c r="J24" s="645"/>
      <c r="K24" s="645"/>
      <c r="L24" s="795" t="str">
        <f>IF(D24&lt;&gt;"",IF('本人旅行経路（情報連携シート）'!E37="鉄道",'本人旅行経路（情報連携シート）'!G37,""),"")</f>
        <v/>
      </c>
      <c r="M24" s="796"/>
      <c r="N24" s="796"/>
      <c r="O24" s="796"/>
      <c r="P24" s="178"/>
      <c r="Q24" s="180" t="s">
        <v>421</v>
      </c>
      <c r="R24" s="181" t="s">
        <v>422</v>
      </c>
      <c r="S24" s="181" t="s">
        <v>423</v>
      </c>
      <c r="T24" s="181" t="s">
        <v>424</v>
      </c>
      <c r="U24" s="178"/>
      <c r="V24" s="795" t="str">
        <f>IF(D24&lt;&gt;"",'本人旅行経路（情報連携シート）'!I37,"")</f>
        <v/>
      </c>
      <c r="W24" s="796"/>
      <c r="X24" s="796"/>
      <c r="Y24" s="796"/>
      <c r="Z24" s="178"/>
      <c r="AA24" s="182" t="s">
        <v>428</v>
      </c>
      <c r="AB24" s="183" t="s">
        <v>161</v>
      </c>
      <c r="AC24" s="183"/>
      <c r="AD24" s="178"/>
      <c r="AE24" s="182" t="s">
        <v>431</v>
      </c>
      <c r="AF24" s="183" t="s">
        <v>432</v>
      </c>
      <c r="AG24" s="183" t="s">
        <v>434</v>
      </c>
      <c r="AH24" s="183" t="s">
        <v>436</v>
      </c>
      <c r="AI24" s="178"/>
      <c r="AJ24" s="184" t="s">
        <v>404</v>
      </c>
      <c r="AK24" s="306" t="str">
        <f>IF(D24="","",IF(OR('本人旅行経路（情報連携シート）'!E37="徒歩・その他の交通用具",'本人旅行経路（情報連携シート）'!E37="バス",'本人旅行経路（情報連携シート）'!E37="タクシー"),'本人旅行経路（情報連携シート）'!F37,""))</f>
        <v/>
      </c>
      <c r="AL24" s="185" t="s">
        <v>405</v>
      </c>
      <c r="AM24" s="178" t="s">
        <v>406</v>
      </c>
      <c r="AN24" s="799" t="str">
        <f>BN25</f>
        <v/>
      </c>
      <c r="AO24" s="800"/>
      <c r="AP24" s="800"/>
      <c r="AQ24" s="308" t="str">
        <f>IF(BM25&lt;&gt;"",1,"")</f>
        <v/>
      </c>
      <c r="AR24" s="178" t="s">
        <v>407</v>
      </c>
      <c r="AS24" s="781" t="str">
        <f>IF(BR25&lt;&gt;"",1,"")</f>
        <v/>
      </c>
      <c r="AT24" s="782"/>
      <c r="AU24" s="782"/>
      <c r="AV24" s="782"/>
      <c r="AW24" s="177" t="s">
        <v>408</v>
      </c>
      <c r="AX24" s="205" t="s">
        <v>414</v>
      </c>
      <c r="AY24" s="206"/>
      <c r="AZ24" s="206"/>
      <c r="BA24" s="206"/>
      <c r="BB24" s="206"/>
      <c r="BC24" s="199"/>
      <c r="BD24" s="563"/>
      <c r="BE24" s="563"/>
      <c r="BF24" s="563"/>
      <c r="BG24" s="563"/>
      <c r="BH24" s="564"/>
      <c r="BI24" s="161"/>
      <c r="BK24" s="541"/>
      <c r="BL24" s="540"/>
      <c r="BM24" s="541"/>
      <c r="BN24" s="540"/>
      <c r="BP24" s="541"/>
      <c r="BQ24" s="540"/>
      <c r="BR24" s="541"/>
    </row>
    <row r="25" spans="1:79" x14ac:dyDescent="0.15">
      <c r="A25" s="805"/>
      <c r="B25" s="806"/>
      <c r="C25" s="807"/>
      <c r="D25" s="808"/>
      <c r="E25" s="809"/>
      <c r="F25" s="809"/>
      <c r="G25" s="810"/>
      <c r="H25" s="808"/>
      <c r="I25" s="809"/>
      <c r="J25" s="809"/>
      <c r="K25" s="809"/>
      <c r="L25" s="795"/>
      <c r="M25" s="796"/>
      <c r="N25" s="796"/>
      <c r="O25" s="796"/>
      <c r="P25" s="178" t="s">
        <v>369</v>
      </c>
      <c r="Q25" s="795" t="str">
        <f>IF(D24&lt;&gt;"",IF('本人旅行経路（情報連携シート）'!E17="鉄道",SUM('本人旅行経路（情報連携シート）'!K17,'本人旅行経路（情報連携シート）'!M17,'本人旅行経路（情報連携シート）'!O37),""),"")</f>
        <v/>
      </c>
      <c r="R25" s="796"/>
      <c r="S25" s="796"/>
      <c r="T25" s="796"/>
      <c r="U25" s="178" t="s">
        <v>369</v>
      </c>
      <c r="V25" s="795"/>
      <c r="W25" s="796"/>
      <c r="X25" s="796"/>
      <c r="Y25" s="796"/>
      <c r="Z25" s="178" t="s">
        <v>369</v>
      </c>
      <c r="AA25" s="808" t="str">
        <f>IF(D24&lt;&gt;"",IF(OR('本人旅行経路（情報連携シート）'!E37="船",'本人旅行経路（情報連携シート）'!E37="飛行機",'本人旅行経路（情報連携シート）'!E37="ヘリ"),'本人旅行経路（情報連携シート）'!G37,""),"")</f>
        <v/>
      </c>
      <c r="AB25" s="809"/>
      <c r="AC25" s="809"/>
      <c r="AD25" s="179" t="s">
        <v>26</v>
      </c>
      <c r="AE25" s="808" t="str">
        <f>IF(D24&lt;&gt;"",IF('本人旅行経路（情報連携シート）'!E37="飛行機",SUM('本人旅行経路（情報連携シート）'!K37,'本人旅行経路（情報連携シート）'!Q37),IF('本人旅行経路（情報連携シート）'!E37="船",SUM('本人旅行経路（情報連携シート）'!M37,'本人旅行経路（情報連携シート）'!O37,'本人旅行経路（情報連携シート）'!Q37),IF('本人旅行経路（情報連携シート）'!E37="ヘリ",'本人旅行経路（情報連携シート）'!Q37,""))),"")</f>
        <v/>
      </c>
      <c r="AF25" s="809"/>
      <c r="AG25" s="809"/>
      <c r="AH25" s="809"/>
      <c r="AI25" s="179" t="s">
        <v>369</v>
      </c>
      <c r="AJ25" s="781" t="str">
        <f>IF(D24&lt;&gt;"",IF(OR('本人旅行経路（情報連携シート）'!E37="徒歩・その他の交通用具",'本人旅行経路（情報連携シート）'!E37="タクシー",'本人旅行経路（情報連携シート）'!E37="バス"),'本人旅行経路（情報連携シート）'!G37,""),"")</f>
        <v/>
      </c>
      <c r="AK25" s="782"/>
      <c r="AL25" s="782"/>
      <c r="AM25" s="179" t="s">
        <v>369</v>
      </c>
      <c r="AN25" s="783" t="str">
        <f>BM25</f>
        <v/>
      </c>
      <c r="AO25" s="784"/>
      <c r="AP25" s="784"/>
      <c r="AQ25" s="784"/>
      <c r="AR25" s="179" t="s">
        <v>369</v>
      </c>
      <c r="AS25" s="783" t="str">
        <f>BR25</f>
        <v/>
      </c>
      <c r="AT25" s="784"/>
      <c r="AU25" s="784"/>
      <c r="AV25" s="784"/>
      <c r="AW25" s="179" t="s">
        <v>369</v>
      </c>
      <c r="AX25" s="197"/>
      <c r="AY25" s="731" t="s">
        <v>415</v>
      </c>
      <c r="AZ25" s="731"/>
      <c r="BA25" s="731"/>
      <c r="BB25" s="731"/>
      <c r="BC25" s="199"/>
      <c r="BD25" s="563"/>
      <c r="BE25" s="563"/>
      <c r="BF25" s="563"/>
      <c r="BG25" s="563"/>
      <c r="BH25" s="564"/>
      <c r="BI25" s="161"/>
      <c r="BK25" s="541">
        <f>IFERROR(MATCH(A24,'基本情報（情報連携シート）'!$C$125:$C$126,0),0)</f>
        <v>0</v>
      </c>
      <c r="BL25" s="539">
        <f>COUNTIF(BK$17:BK25,BK25)</f>
        <v>5</v>
      </c>
      <c r="BM25" s="541" t="str">
        <f>IF(AND(BK25&lt;&gt;0,BL25=1),INDEX('基本情報（情報連携シート）'!$D$125:$D$126,BK25),"")</f>
        <v/>
      </c>
      <c r="BN25" s="539" t="str">
        <f>IF(AND(BK25=1,BL25=1,BM25&lt;&gt;""),'基本情報（情報連携シート）'!$F$64,IF(AND(BK25=2,BL25=1,BM25&lt;&gt;""),'基本情報（情報連携シート）'!$F$65,""))</f>
        <v/>
      </c>
      <c r="BP25" s="541">
        <f>IFERROR(MATCH(A24,'基本情報（情報連携シート）'!$C$129:$C$132,0),0)</f>
        <v>0</v>
      </c>
      <c r="BQ25" s="539">
        <f>COUNTIF(BP$17:BP25,BP25)</f>
        <v>5</v>
      </c>
      <c r="BR25" s="541" t="str">
        <f>IF(AND(BP25&lt;&gt;0,BQ25=1),INDEX('基本情報（情報連携シート）'!$D$129:$D$132,BP25),"")</f>
        <v/>
      </c>
    </row>
    <row r="26" spans="1:79" x14ac:dyDescent="0.15">
      <c r="A26" s="786"/>
      <c r="B26" s="787"/>
      <c r="C26" s="788"/>
      <c r="D26" s="644" t="str">
        <f>'本人旅行経路（情報連携シート）'!C39</f>
        <v/>
      </c>
      <c r="E26" s="645"/>
      <c r="F26" s="645"/>
      <c r="G26" s="646"/>
      <c r="H26" s="644" t="str">
        <f>'本人旅行経路（情報連携シート）'!C40</f>
        <v/>
      </c>
      <c r="I26" s="645"/>
      <c r="J26" s="645"/>
      <c r="K26" s="645"/>
      <c r="L26" s="795" t="str">
        <f>IF(D26&lt;&gt;"",IF('本人旅行経路（情報連携シート）'!E39="鉄道",'本人旅行経路（情報連携シート）'!G39,""),"")</f>
        <v/>
      </c>
      <c r="M26" s="796"/>
      <c r="N26" s="796"/>
      <c r="O26" s="796"/>
      <c r="P26" s="178"/>
      <c r="Q26" s="180" t="s">
        <v>421</v>
      </c>
      <c r="R26" s="181" t="s">
        <v>422</v>
      </c>
      <c r="S26" s="181" t="s">
        <v>423</v>
      </c>
      <c r="T26" s="181" t="s">
        <v>424</v>
      </c>
      <c r="U26" s="178"/>
      <c r="V26" s="795" t="str">
        <f>IF(D26&lt;&gt;"",'本人旅行経路（情報連携シート）'!I39,"")</f>
        <v/>
      </c>
      <c r="W26" s="796"/>
      <c r="X26" s="796"/>
      <c r="Y26" s="796"/>
      <c r="Z26" s="178"/>
      <c r="AA26" s="182" t="s">
        <v>428</v>
      </c>
      <c r="AB26" s="183" t="s">
        <v>161</v>
      </c>
      <c r="AC26" s="183"/>
      <c r="AD26" s="178"/>
      <c r="AE26" s="182" t="s">
        <v>431</v>
      </c>
      <c r="AF26" s="183" t="s">
        <v>432</v>
      </c>
      <c r="AG26" s="183" t="s">
        <v>434</v>
      </c>
      <c r="AH26" s="183" t="s">
        <v>436</v>
      </c>
      <c r="AI26" s="178"/>
      <c r="AJ26" s="184" t="s">
        <v>404</v>
      </c>
      <c r="AK26" s="306" t="str">
        <f>IF(D26="","",IF(OR('本人旅行経路（情報連携シート）'!E39="徒歩・その他の交通用具",'本人旅行経路（情報連携シート）'!E39="バス",'本人旅行経路（情報連携シート）'!E39="タクシー"),'本人旅行経路（情報連携シート）'!F39,""))</f>
        <v/>
      </c>
      <c r="AL26" s="185" t="s">
        <v>405</v>
      </c>
      <c r="AM26" s="178" t="s">
        <v>406</v>
      </c>
      <c r="AN26" s="799" t="str">
        <f>BN27</f>
        <v/>
      </c>
      <c r="AO26" s="800"/>
      <c r="AP26" s="800"/>
      <c r="AQ26" s="308" t="str">
        <f>IF(BM27&lt;&gt;"",1,"")</f>
        <v/>
      </c>
      <c r="AR26" s="178" t="s">
        <v>407</v>
      </c>
      <c r="AS26" s="781" t="str">
        <f>IF(BR27&lt;&gt;"",1,"")</f>
        <v/>
      </c>
      <c r="AT26" s="782"/>
      <c r="AU26" s="782"/>
      <c r="AV26" s="782"/>
      <c r="AW26" s="177" t="s">
        <v>408</v>
      </c>
      <c r="AX26" s="197"/>
      <c r="AY26" s="731" t="s">
        <v>416</v>
      </c>
      <c r="AZ26" s="731"/>
      <c r="BA26" s="731"/>
      <c r="BB26" s="731"/>
      <c r="BC26" s="199" t="s">
        <v>407</v>
      </c>
      <c r="BD26" s="563"/>
      <c r="BE26" s="563"/>
      <c r="BF26" s="563"/>
      <c r="BG26" s="563"/>
      <c r="BH26" s="564"/>
      <c r="BI26" s="161"/>
      <c r="BK26" s="541"/>
      <c r="BL26" s="540"/>
      <c r="BM26" s="541"/>
      <c r="BN26" s="540"/>
      <c r="BP26" s="541"/>
      <c r="BQ26" s="540"/>
      <c r="BR26" s="541"/>
    </row>
    <row r="27" spans="1:79" x14ac:dyDescent="0.15">
      <c r="A27" s="805"/>
      <c r="B27" s="806"/>
      <c r="C27" s="807"/>
      <c r="D27" s="808"/>
      <c r="E27" s="809"/>
      <c r="F27" s="809"/>
      <c r="G27" s="810"/>
      <c r="H27" s="808"/>
      <c r="I27" s="809"/>
      <c r="J27" s="809"/>
      <c r="K27" s="809"/>
      <c r="L27" s="795"/>
      <c r="M27" s="796"/>
      <c r="N27" s="796"/>
      <c r="O27" s="796"/>
      <c r="P27" s="178" t="s">
        <v>369</v>
      </c>
      <c r="Q27" s="795" t="str">
        <f>IF(D26&lt;&gt;"",IF('本人旅行経路（情報連携シート）'!E19="鉄道",SUM('本人旅行経路（情報連携シート）'!K19,'本人旅行経路（情報連携シート）'!M19,'本人旅行経路（情報連携シート）'!O39),""),"")</f>
        <v/>
      </c>
      <c r="R27" s="796"/>
      <c r="S27" s="796"/>
      <c r="T27" s="796"/>
      <c r="U27" s="178" t="s">
        <v>369</v>
      </c>
      <c r="V27" s="795"/>
      <c r="W27" s="796"/>
      <c r="X27" s="796"/>
      <c r="Y27" s="796"/>
      <c r="Z27" s="178" t="s">
        <v>369</v>
      </c>
      <c r="AA27" s="808" t="str">
        <f>IF(D26&lt;&gt;"",IF(OR('本人旅行経路（情報連携シート）'!E39="船",'本人旅行経路（情報連携シート）'!E39="飛行機",'本人旅行経路（情報連携シート）'!E39="ヘリ"),'本人旅行経路（情報連携シート）'!G39,""),"")</f>
        <v/>
      </c>
      <c r="AB27" s="809"/>
      <c r="AC27" s="809"/>
      <c r="AD27" s="179" t="s">
        <v>26</v>
      </c>
      <c r="AE27" s="808" t="str">
        <f>IF(D26&lt;&gt;"",IF('本人旅行経路（情報連携シート）'!E39="飛行機",SUM('本人旅行経路（情報連携シート）'!K39,'本人旅行経路（情報連携シート）'!Q39),IF('本人旅行経路（情報連携シート）'!E39="船",SUM('本人旅行経路（情報連携シート）'!M39,'本人旅行経路（情報連携シート）'!O39,'本人旅行経路（情報連携シート）'!Q39),IF('本人旅行経路（情報連携シート）'!E39="ヘリ",'本人旅行経路（情報連携シート）'!Q39,""))),"")</f>
        <v/>
      </c>
      <c r="AF27" s="809"/>
      <c r="AG27" s="809"/>
      <c r="AH27" s="809"/>
      <c r="AI27" s="179" t="s">
        <v>369</v>
      </c>
      <c r="AJ27" s="781" t="str">
        <f>IF(D26&lt;&gt;"",IF(OR('本人旅行経路（情報連携シート）'!E39="徒歩・その他の交通用具",'本人旅行経路（情報連携シート）'!E39="タクシー",'本人旅行経路（情報連携シート）'!E39="バス"),'本人旅行経路（情報連携シート）'!G39,""),"")</f>
        <v/>
      </c>
      <c r="AK27" s="782"/>
      <c r="AL27" s="782"/>
      <c r="AM27" s="179" t="s">
        <v>369</v>
      </c>
      <c r="AN27" s="783" t="str">
        <f>BM27</f>
        <v/>
      </c>
      <c r="AO27" s="784"/>
      <c r="AP27" s="784"/>
      <c r="AQ27" s="784"/>
      <c r="AR27" s="179" t="s">
        <v>369</v>
      </c>
      <c r="AS27" s="783" t="str">
        <f>BR27</f>
        <v/>
      </c>
      <c r="AT27" s="784"/>
      <c r="AU27" s="784"/>
      <c r="AV27" s="784"/>
      <c r="AW27" s="179" t="s">
        <v>369</v>
      </c>
      <c r="AX27" s="197"/>
      <c r="AY27" s="785"/>
      <c r="AZ27" s="785"/>
      <c r="BA27" s="785"/>
      <c r="BB27" s="785"/>
      <c r="BC27" s="199" t="s">
        <v>369</v>
      </c>
      <c r="BD27" s="563"/>
      <c r="BE27" s="563"/>
      <c r="BF27" s="563"/>
      <c r="BG27" s="563"/>
      <c r="BH27" s="564"/>
      <c r="BI27" s="161"/>
      <c r="BK27" s="541">
        <f>IFERROR(MATCH(A26,'基本情報（情報連携シート）'!$C$125:$C$126,0),0)</f>
        <v>0</v>
      </c>
      <c r="BL27" s="539">
        <f>COUNTIF(BK$17:BK27,BK27)</f>
        <v>6</v>
      </c>
      <c r="BM27" s="541" t="str">
        <f>IF(AND(BK27&lt;&gt;0,BL27=1),INDEX('基本情報（情報連携シート）'!$D$125:$D$126,BK27),"")</f>
        <v/>
      </c>
      <c r="BN27" s="539" t="str">
        <f>IF(AND(BK27=1,BL27=1,BM27&lt;&gt;""),'基本情報（情報連携シート）'!$F$64,IF(AND(BK27=2,BL27=1,BM27&lt;&gt;""),'基本情報（情報連携シート）'!$F$65,""))</f>
        <v/>
      </c>
      <c r="BP27" s="541">
        <f>IFERROR(MATCH(A26,'基本情報（情報連携シート）'!$C$129:$C$132,0),0)</f>
        <v>0</v>
      </c>
      <c r="BQ27" s="539">
        <f>COUNTIF(BP$17:BP27,BP27)</f>
        <v>6</v>
      </c>
      <c r="BR27" s="541" t="str">
        <f>IF(AND(BP27&lt;&gt;0,BQ27=1),INDEX('基本情報（情報連携シート）'!$D$129:$D$132,BP27),"")</f>
        <v/>
      </c>
    </row>
    <row r="28" spans="1:79" x14ac:dyDescent="0.15">
      <c r="A28" s="786"/>
      <c r="B28" s="787"/>
      <c r="C28" s="788"/>
      <c r="D28" s="644" t="str">
        <f>'本人旅行経路（情報連携シート）'!C41</f>
        <v/>
      </c>
      <c r="E28" s="645"/>
      <c r="F28" s="645"/>
      <c r="G28" s="646"/>
      <c r="H28" s="644" t="str">
        <f>'本人旅行経路（情報連携シート）'!C42</f>
        <v/>
      </c>
      <c r="I28" s="645"/>
      <c r="J28" s="645"/>
      <c r="K28" s="645"/>
      <c r="L28" s="795" t="str">
        <f>IF(D28&lt;&gt;"",IF('本人旅行経路（情報連携シート）'!E41="鉄道",'本人旅行経路（情報連携シート）'!G41,""),"")</f>
        <v/>
      </c>
      <c r="M28" s="796"/>
      <c r="N28" s="796"/>
      <c r="O28" s="796"/>
      <c r="P28" s="178"/>
      <c r="Q28" s="180" t="s">
        <v>421</v>
      </c>
      <c r="R28" s="181" t="s">
        <v>422</v>
      </c>
      <c r="S28" s="181" t="s">
        <v>423</v>
      </c>
      <c r="T28" s="181" t="s">
        <v>424</v>
      </c>
      <c r="U28" s="178"/>
      <c r="V28" s="795" t="str">
        <f>IF(D28&lt;&gt;"",'本人旅行経路（情報連携シート）'!I41,"")</f>
        <v/>
      </c>
      <c r="W28" s="796"/>
      <c r="X28" s="796"/>
      <c r="Y28" s="796"/>
      <c r="Z28" s="178"/>
      <c r="AA28" s="182" t="s">
        <v>428</v>
      </c>
      <c r="AB28" s="183" t="s">
        <v>161</v>
      </c>
      <c r="AC28" s="183"/>
      <c r="AD28" s="178"/>
      <c r="AE28" s="182" t="s">
        <v>431</v>
      </c>
      <c r="AF28" s="183" t="s">
        <v>432</v>
      </c>
      <c r="AG28" s="183" t="s">
        <v>434</v>
      </c>
      <c r="AH28" s="183" t="s">
        <v>436</v>
      </c>
      <c r="AI28" s="178"/>
      <c r="AJ28" s="184" t="s">
        <v>404</v>
      </c>
      <c r="AK28" s="306" t="str">
        <f>IF(D28="","",IF(OR('本人旅行経路（情報連携シート）'!E41="徒歩・その他の交通用具",'本人旅行経路（情報連携シート）'!E41="バス",'本人旅行経路（情報連携シート）'!E41="タクシー"),'本人旅行経路（情報連携シート）'!F41,""))</f>
        <v/>
      </c>
      <c r="AL28" s="185" t="s">
        <v>405</v>
      </c>
      <c r="AM28" s="178" t="s">
        <v>406</v>
      </c>
      <c r="AN28" s="799" t="str">
        <f>BN29</f>
        <v/>
      </c>
      <c r="AO28" s="800"/>
      <c r="AP28" s="800"/>
      <c r="AQ28" s="308" t="str">
        <f>IF(BM29&lt;&gt;"",1,"")</f>
        <v/>
      </c>
      <c r="AR28" s="178" t="s">
        <v>407</v>
      </c>
      <c r="AS28" s="781" t="str">
        <f>IF(BR29&lt;&gt;"",1,"")</f>
        <v/>
      </c>
      <c r="AT28" s="782"/>
      <c r="AU28" s="782"/>
      <c r="AV28" s="782"/>
      <c r="AW28" s="177" t="s">
        <v>408</v>
      </c>
      <c r="AX28" s="205" t="s">
        <v>417</v>
      </c>
      <c r="AY28" s="206"/>
      <c r="AZ28" s="206"/>
      <c r="BA28" s="206"/>
      <c r="BB28" s="206"/>
      <c r="BC28" s="199"/>
      <c r="BD28" s="563"/>
      <c r="BE28" s="563"/>
      <c r="BF28" s="563"/>
      <c r="BG28" s="563"/>
      <c r="BH28" s="564"/>
      <c r="BI28" s="161"/>
      <c r="BK28" s="541"/>
      <c r="BL28" s="540"/>
      <c r="BM28" s="541"/>
      <c r="BN28" s="540"/>
      <c r="BP28" s="541"/>
      <c r="BQ28" s="540"/>
      <c r="BR28" s="541"/>
    </row>
    <row r="29" spans="1:79" x14ac:dyDescent="0.15">
      <c r="A29" s="805"/>
      <c r="B29" s="806"/>
      <c r="C29" s="807"/>
      <c r="D29" s="808"/>
      <c r="E29" s="809"/>
      <c r="F29" s="809"/>
      <c r="G29" s="810"/>
      <c r="H29" s="808"/>
      <c r="I29" s="809"/>
      <c r="J29" s="809"/>
      <c r="K29" s="809"/>
      <c r="L29" s="795"/>
      <c r="M29" s="796"/>
      <c r="N29" s="796"/>
      <c r="O29" s="796"/>
      <c r="P29" s="178" t="s">
        <v>369</v>
      </c>
      <c r="Q29" s="795" t="str">
        <f>IF(D28&lt;&gt;"",IF('本人旅行経路（情報連携シート）'!E21="鉄道",SUM('本人旅行経路（情報連携シート）'!K21,'本人旅行経路（情報連携シート）'!M21,'本人旅行経路（情報連携シート）'!O41),""),"")</f>
        <v/>
      </c>
      <c r="R29" s="796"/>
      <c r="S29" s="796"/>
      <c r="T29" s="796"/>
      <c r="U29" s="178" t="s">
        <v>369</v>
      </c>
      <c r="V29" s="795"/>
      <c r="W29" s="796"/>
      <c r="X29" s="796"/>
      <c r="Y29" s="796"/>
      <c r="Z29" s="178" t="s">
        <v>369</v>
      </c>
      <c r="AA29" s="808" t="str">
        <f>IF(D28&lt;&gt;"",IF(OR('本人旅行経路（情報連携シート）'!E41="船",'本人旅行経路（情報連携シート）'!E41="飛行機",'本人旅行経路（情報連携シート）'!E41="ヘリ"),'本人旅行経路（情報連携シート）'!G41,""),"")</f>
        <v/>
      </c>
      <c r="AB29" s="809"/>
      <c r="AC29" s="809"/>
      <c r="AD29" s="179" t="s">
        <v>26</v>
      </c>
      <c r="AE29" s="779" t="str">
        <f>IF(D28&lt;&gt;"",IF('本人旅行経路（情報連携シート）'!E41="飛行機",SUM('本人旅行経路（情報連携シート）'!K41,'本人旅行経路（情報連携シート）'!Q41),IF('本人旅行経路（情報連携シート）'!E41="船",SUM('本人旅行経路（情報連携シート）'!M41,'本人旅行経路（情報連携シート）'!O41,'本人旅行経路（情報連携シート）'!Q41),IF('本人旅行経路（情報連携シート）'!E41="ヘリ",'本人旅行経路（情報連携シート）'!Q41,""))),"")</f>
        <v/>
      </c>
      <c r="AF29" s="780"/>
      <c r="AG29" s="780"/>
      <c r="AH29" s="780"/>
      <c r="AI29" s="179" t="s">
        <v>369</v>
      </c>
      <c r="AJ29" s="781" t="str">
        <f>IF(D28&lt;&gt;"",IF(OR('本人旅行経路（情報連携シート）'!E41="徒歩・その他の交通用具",'本人旅行経路（情報連携シート）'!E41="タクシー",'本人旅行経路（情報連携シート）'!E41="バス"),'本人旅行経路（情報連携シート）'!G41,""),"")</f>
        <v/>
      </c>
      <c r="AK29" s="782"/>
      <c r="AL29" s="782"/>
      <c r="AM29" s="179" t="s">
        <v>369</v>
      </c>
      <c r="AN29" s="783" t="str">
        <f>BM29</f>
        <v/>
      </c>
      <c r="AO29" s="784"/>
      <c r="AP29" s="784"/>
      <c r="AQ29" s="784"/>
      <c r="AR29" s="179" t="s">
        <v>369</v>
      </c>
      <c r="AS29" s="783" t="str">
        <f>BR29</f>
        <v/>
      </c>
      <c r="AT29" s="784"/>
      <c r="AU29" s="784"/>
      <c r="AV29" s="784"/>
      <c r="AW29" s="179" t="s">
        <v>369</v>
      </c>
      <c r="AX29" s="197"/>
      <c r="AY29" s="207"/>
      <c r="AZ29" s="207"/>
      <c r="BA29" s="731"/>
      <c r="BB29" s="731"/>
      <c r="BC29" s="199" t="s">
        <v>407</v>
      </c>
      <c r="BD29" s="563"/>
      <c r="BE29" s="563"/>
      <c r="BF29" s="563"/>
      <c r="BG29" s="563"/>
      <c r="BH29" s="564"/>
      <c r="BI29" s="161"/>
      <c r="BK29" s="541">
        <f>IFERROR(MATCH(A28,'基本情報（情報連携シート）'!$C$125:$C$126,0),0)</f>
        <v>0</v>
      </c>
      <c r="BL29" s="539">
        <f>COUNTIF(BK$17:BK29,BK29)</f>
        <v>7</v>
      </c>
      <c r="BM29" s="541" t="str">
        <f>IF(AND(BK29&lt;&gt;0,BL29=1),INDEX('基本情報（情報連携シート）'!$D$125:$D$126,BK29),"")</f>
        <v/>
      </c>
      <c r="BN29" s="539" t="str">
        <f>IF(AND(BK29=1,BL29=1,BM29&lt;&gt;""),'基本情報（情報連携シート）'!$F$64,IF(AND(BK29=2,BL29=1,BM29&lt;&gt;""),'基本情報（情報連携シート）'!$F$65,""))</f>
        <v/>
      </c>
      <c r="BP29" s="541">
        <f>IFERROR(MATCH(A28,'基本情報（情報連携シート）'!$C$129:$C$132,0),0)</f>
        <v>0</v>
      </c>
      <c r="BQ29" s="539">
        <f>COUNTIF(BP$17:BP29,BP29)</f>
        <v>7</v>
      </c>
      <c r="BR29" s="541" t="str">
        <f>IF(AND(BP29&lt;&gt;0,BQ29=1),INDEX('基本情報（情報連携シート）'!$D$129:$D$132,BP29),"")</f>
        <v/>
      </c>
    </row>
    <row r="30" spans="1:79" x14ac:dyDescent="0.15">
      <c r="A30" s="786"/>
      <c r="B30" s="787"/>
      <c r="C30" s="788"/>
      <c r="D30" s="644" t="str">
        <f>'本人旅行経路（情報連携シート）'!C43</f>
        <v/>
      </c>
      <c r="E30" s="645"/>
      <c r="F30" s="645"/>
      <c r="G30" s="646"/>
      <c r="H30" s="644" t="str">
        <f>'本人旅行経路（情報連携シート）'!C44</f>
        <v/>
      </c>
      <c r="I30" s="645"/>
      <c r="J30" s="645"/>
      <c r="K30" s="645"/>
      <c r="L30" s="795" t="str">
        <f>IF(D30&lt;&gt;"",IF('本人旅行経路（情報連携シート）'!E43="鉄道",'本人旅行経路（情報連携シート）'!G43,""),"")</f>
        <v/>
      </c>
      <c r="M30" s="796"/>
      <c r="N30" s="796"/>
      <c r="O30" s="796"/>
      <c r="P30" s="178"/>
      <c r="Q30" s="180" t="s">
        <v>421</v>
      </c>
      <c r="R30" s="181" t="s">
        <v>422</v>
      </c>
      <c r="S30" s="181" t="s">
        <v>423</v>
      </c>
      <c r="T30" s="181" t="s">
        <v>424</v>
      </c>
      <c r="U30" s="178"/>
      <c r="V30" s="795" t="str">
        <f>IF(D30&lt;&gt;"",'本人旅行経路（情報連携シート）'!I43,"")</f>
        <v/>
      </c>
      <c r="W30" s="796"/>
      <c r="X30" s="796"/>
      <c r="Y30" s="796"/>
      <c r="Z30" s="178"/>
      <c r="AA30" s="182" t="s">
        <v>428</v>
      </c>
      <c r="AB30" s="183" t="s">
        <v>161</v>
      </c>
      <c r="AC30" s="183"/>
      <c r="AD30" s="178"/>
      <c r="AE30" s="182" t="s">
        <v>431</v>
      </c>
      <c r="AF30" s="183" t="s">
        <v>432</v>
      </c>
      <c r="AG30" s="183" t="s">
        <v>434</v>
      </c>
      <c r="AH30" s="183" t="s">
        <v>436</v>
      </c>
      <c r="AI30" s="178"/>
      <c r="AJ30" s="184" t="s">
        <v>404</v>
      </c>
      <c r="AK30" s="306" t="str">
        <f>IF(D30="","",IF(OR('本人旅行経路（情報連携シート）'!E43="徒歩・その他の交通用具",'本人旅行経路（情報連携シート）'!E43="バス",'本人旅行経路（情報連携シート）'!E43="タクシー"),'本人旅行経路（情報連携シート）'!F43,""))</f>
        <v/>
      </c>
      <c r="AL30" s="185" t="s">
        <v>405</v>
      </c>
      <c r="AM30" s="178" t="s">
        <v>406</v>
      </c>
      <c r="AN30" s="799" t="str">
        <f>BN31</f>
        <v/>
      </c>
      <c r="AO30" s="800"/>
      <c r="AP30" s="800"/>
      <c r="AQ30" s="308" t="str">
        <f>IF(BM31&lt;&gt;"",1,"")</f>
        <v/>
      </c>
      <c r="AR30" s="178" t="s">
        <v>407</v>
      </c>
      <c r="AS30" s="781" t="str">
        <f>IF(BR31&lt;&gt;"",1,"")</f>
        <v/>
      </c>
      <c r="AT30" s="782"/>
      <c r="AU30" s="782"/>
      <c r="AV30" s="782"/>
      <c r="AW30" s="177" t="s">
        <v>408</v>
      </c>
      <c r="AX30" s="197"/>
      <c r="AY30" s="785"/>
      <c r="AZ30" s="785"/>
      <c r="BA30" s="785"/>
      <c r="BB30" s="785"/>
      <c r="BC30" s="199" t="s">
        <v>369</v>
      </c>
      <c r="BD30" s="563"/>
      <c r="BE30" s="563"/>
      <c r="BF30" s="563"/>
      <c r="BG30" s="563"/>
      <c r="BH30" s="564"/>
      <c r="BI30" s="161"/>
      <c r="BK30" s="541"/>
      <c r="BL30" s="540"/>
      <c r="BM30" s="541"/>
      <c r="BN30" s="540"/>
      <c r="BP30" s="541"/>
      <c r="BQ30" s="540"/>
      <c r="BR30" s="541"/>
    </row>
    <row r="31" spans="1:79" x14ac:dyDescent="0.15">
      <c r="A31" s="789"/>
      <c r="B31" s="790"/>
      <c r="C31" s="791"/>
      <c r="D31" s="792"/>
      <c r="E31" s="793"/>
      <c r="F31" s="793"/>
      <c r="G31" s="794"/>
      <c r="H31" s="792"/>
      <c r="I31" s="793"/>
      <c r="J31" s="793"/>
      <c r="K31" s="793"/>
      <c r="L31" s="797"/>
      <c r="M31" s="798"/>
      <c r="N31" s="798"/>
      <c r="O31" s="798"/>
      <c r="P31" s="190" t="s">
        <v>369</v>
      </c>
      <c r="Q31" s="797" t="str">
        <f>IF(D30&lt;&gt;"",IF('本人旅行経路（情報連携シート）'!E23="鉄道",SUM('本人旅行経路（情報連携シート）'!I23,'本人旅行経路（情報連携シート）'!K23,'本人旅行経路（情報連携シート）'!M23),""),"")</f>
        <v/>
      </c>
      <c r="R31" s="798"/>
      <c r="S31" s="798"/>
      <c r="T31" s="798"/>
      <c r="U31" s="190" t="s">
        <v>369</v>
      </c>
      <c r="V31" s="797"/>
      <c r="W31" s="798"/>
      <c r="X31" s="798"/>
      <c r="Y31" s="798"/>
      <c r="Z31" s="190" t="s">
        <v>369</v>
      </c>
      <c r="AA31" s="792" t="str">
        <f>IF(D30&lt;&gt;"",IF(OR('本人旅行経路（情報連携シート）'!E43="船",'本人旅行経路（情報連携シート）'!E43="飛行機",'本人旅行経路（情報連携シート）'!E43="ヘリ"),'本人旅行経路（情報連携シート）'!G43,""),"")</f>
        <v/>
      </c>
      <c r="AB31" s="793"/>
      <c r="AC31" s="793"/>
      <c r="AD31" s="161" t="s">
        <v>26</v>
      </c>
      <c r="AE31" s="792" t="str">
        <f>IF(D30&lt;&gt;"",IF('本人旅行経路（情報連携シート）'!E23="飛行機",SUM('本人旅行経路（情報連携シート）'!K23,'本人旅行経路（情報連携シート）'!Q23),IF('本人旅行経路（情報連携シート）'!E23="船",SUM('本人旅行経路（情報連携シート）'!M23,'本人旅行経路（情報連携シート）'!O23,'本人旅行経路（情報連携シート）'!Q23),IF('本人旅行経路（情報連携シート）'!E23="ヘリ",'本人旅行経路（情報連携シート）'!Q23,""))),"")</f>
        <v/>
      </c>
      <c r="AF31" s="793"/>
      <c r="AG31" s="793"/>
      <c r="AH31" s="793"/>
      <c r="AI31" s="161" t="s">
        <v>369</v>
      </c>
      <c r="AJ31" s="801" t="str">
        <f>IF(D30&lt;&gt;"",IF(OR('本人旅行経路（情報連携シート）'!E43="徒歩・その他の交通用具",'本人旅行経路（情報連携シート）'!E43="タクシー",'本人旅行経路（情報連携シート）'!E43="バス"),'本人旅行経路（情報連携シート）'!G43,""),"")</f>
        <v/>
      </c>
      <c r="AK31" s="802"/>
      <c r="AL31" s="802"/>
      <c r="AM31" s="161" t="s">
        <v>369</v>
      </c>
      <c r="AN31" s="803" t="str">
        <f>BM31</f>
        <v/>
      </c>
      <c r="AO31" s="804"/>
      <c r="AP31" s="804"/>
      <c r="AQ31" s="804"/>
      <c r="AR31" s="161" t="s">
        <v>369</v>
      </c>
      <c r="AS31" s="803" t="str">
        <f>BR31</f>
        <v/>
      </c>
      <c r="AT31" s="804"/>
      <c r="AU31" s="804"/>
      <c r="AV31" s="804"/>
      <c r="AW31" s="161" t="s">
        <v>369</v>
      </c>
      <c r="AX31" s="197" t="s">
        <v>418</v>
      </c>
      <c r="AY31" s="198"/>
      <c r="AZ31" s="198"/>
      <c r="BA31" s="198"/>
      <c r="BB31" s="198"/>
      <c r="BC31" s="199"/>
      <c r="BD31" s="563"/>
      <c r="BE31" s="563"/>
      <c r="BF31" s="563"/>
      <c r="BG31" s="563"/>
      <c r="BH31" s="564"/>
      <c r="BI31" s="161"/>
      <c r="BK31" s="541">
        <f>IFERROR(MATCH(A30,'基本情報（情報連携シート）'!$C$125:$C$126,0),0)</f>
        <v>0</v>
      </c>
      <c r="BL31" s="539">
        <f>COUNTIF(BK$17:BK31,BK31)</f>
        <v>8</v>
      </c>
      <c r="BM31" s="541" t="str">
        <f>IF(AND(BK31&lt;&gt;0,BL31=1),INDEX('基本情報（情報連携シート）'!$D$125:$D$126,BK31),"")</f>
        <v/>
      </c>
      <c r="BN31" s="539" t="str">
        <f>IF(AND(BK31=1,BL31=1,BM31&lt;&gt;""),'基本情報（情報連携シート）'!$F$64,IF(AND(BK31=2,BL31=1,BM31&lt;&gt;""),'基本情報（情報連携シート）'!$F$65,""))</f>
        <v/>
      </c>
      <c r="BP31" s="541">
        <f>IFERROR(MATCH(A30,'基本情報（情報連携シート）'!$C$129:$C$132,0),0)</f>
        <v>0</v>
      </c>
      <c r="BQ31" s="539">
        <f>COUNTIF(BP$17:BP31,BP31)</f>
        <v>8</v>
      </c>
      <c r="BR31" s="541" t="str">
        <f>IF(AND(BP31&lt;&gt;0,BQ31=1),INDEX('基本情報（情報連携シート）'!$D$129:$D$132,BP31),"")</f>
        <v/>
      </c>
    </row>
    <row r="32" spans="1:79" x14ac:dyDescent="0.15">
      <c r="A32" s="546"/>
      <c r="B32" s="547"/>
      <c r="C32" s="560"/>
      <c r="D32" s="768"/>
      <c r="E32" s="769"/>
      <c r="F32" s="769"/>
      <c r="G32" s="770"/>
      <c r="H32" s="768" t="s">
        <v>3</v>
      </c>
      <c r="I32" s="769"/>
      <c r="J32" s="769"/>
      <c r="K32" s="769"/>
      <c r="L32" s="771">
        <f>SUM(L16,L18,L20,L22,L24,L26,L28,L30)</f>
        <v>0</v>
      </c>
      <c r="M32" s="772"/>
      <c r="N32" s="772"/>
      <c r="O32" s="772"/>
      <c r="P32" s="158"/>
      <c r="Q32" s="775">
        <f>SUM(Q17,Q19,Q21,Q23,Q25,Q27,Q29,Q31)</f>
        <v>0</v>
      </c>
      <c r="R32" s="776"/>
      <c r="S32" s="776"/>
      <c r="T32" s="776"/>
      <c r="U32" s="169"/>
      <c r="V32" s="771">
        <f>SUM(V16,V18,V20,V22,V24,V26,V28,V30)</f>
        <v>0</v>
      </c>
      <c r="W32" s="772"/>
      <c r="X32" s="772"/>
      <c r="Y32" s="772"/>
      <c r="Z32" s="158"/>
      <c r="AA32" s="750">
        <f>SUM(AA17,AA19,AA21,AA23,AA25,AA27,AA29,AA31)</f>
        <v>0</v>
      </c>
      <c r="AB32" s="751"/>
      <c r="AC32" s="751"/>
      <c r="AD32" s="169"/>
      <c r="AE32" s="754">
        <f>SUM(AE17,AE19,AE21,AE23,AE25,AE27,AE29,AE31)</f>
        <v>0</v>
      </c>
      <c r="AF32" s="755"/>
      <c r="AG32" s="755"/>
      <c r="AH32" s="755"/>
      <c r="AI32" s="158"/>
      <c r="AJ32" s="174" t="s">
        <v>404</v>
      </c>
      <c r="AK32" s="305" t="str">
        <f>IF(SUM(AK16,AK18,AK20,AK22,AK24,AK26,AK28,AK30)&gt;0,SUM(AK16,AK18,AK20,AK22,AK24,AK26,AK28,AK30),"")</f>
        <v/>
      </c>
      <c r="AL32" s="175" t="s">
        <v>405</v>
      </c>
      <c r="AM32" s="169" t="s">
        <v>406</v>
      </c>
      <c r="AN32" s="758">
        <f>SUM(AQ16,AQ18,AQ20,AQ22,AQ24,AQ26,AQ28,AQ30)</f>
        <v>0</v>
      </c>
      <c r="AO32" s="759"/>
      <c r="AP32" s="759"/>
      <c r="AQ32" s="759"/>
      <c r="AR32" s="169" t="s">
        <v>407</v>
      </c>
      <c r="AS32" s="760">
        <f>SUM(AS16,AS18,AS20,AS22,AS24,AS26,AS28,AS30)</f>
        <v>0</v>
      </c>
      <c r="AT32" s="761"/>
      <c r="AU32" s="761"/>
      <c r="AV32" s="761"/>
      <c r="AW32" s="158" t="s">
        <v>408</v>
      </c>
      <c r="AX32" s="194"/>
      <c r="AY32" s="195"/>
      <c r="AZ32" s="195"/>
      <c r="BA32" s="195"/>
      <c r="BB32" s="195"/>
      <c r="BC32" s="196"/>
      <c r="BD32" s="563"/>
      <c r="BE32" s="563"/>
      <c r="BF32" s="563"/>
      <c r="BG32" s="563"/>
      <c r="BH32" s="564"/>
      <c r="BI32" s="161"/>
      <c r="BK32" s="541"/>
      <c r="BL32" s="540"/>
      <c r="BM32" s="541"/>
      <c r="BN32" s="540"/>
      <c r="BP32" s="541"/>
      <c r="BQ32" s="540"/>
      <c r="BR32" s="541"/>
    </row>
    <row r="33" spans="1:70" x14ac:dyDescent="0.15">
      <c r="A33" s="548"/>
      <c r="B33" s="549"/>
      <c r="C33" s="561"/>
      <c r="D33" s="647"/>
      <c r="E33" s="648"/>
      <c r="F33" s="648"/>
      <c r="G33" s="649"/>
      <c r="H33" s="647"/>
      <c r="I33" s="648"/>
      <c r="J33" s="648"/>
      <c r="K33" s="648"/>
      <c r="L33" s="773"/>
      <c r="M33" s="774"/>
      <c r="N33" s="774"/>
      <c r="O33" s="774"/>
      <c r="P33" s="166" t="s">
        <v>369</v>
      </c>
      <c r="Q33" s="777"/>
      <c r="R33" s="778"/>
      <c r="S33" s="778"/>
      <c r="T33" s="778"/>
      <c r="U33" s="166" t="s">
        <v>369</v>
      </c>
      <c r="V33" s="773"/>
      <c r="W33" s="774"/>
      <c r="X33" s="774"/>
      <c r="Y33" s="774"/>
      <c r="Z33" s="166" t="s">
        <v>369</v>
      </c>
      <c r="AA33" s="752"/>
      <c r="AB33" s="753"/>
      <c r="AC33" s="753"/>
      <c r="AD33" s="166" t="s">
        <v>26</v>
      </c>
      <c r="AE33" s="756"/>
      <c r="AF33" s="757"/>
      <c r="AG33" s="757"/>
      <c r="AH33" s="757"/>
      <c r="AI33" s="166" t="s">
        <v>369</v>
      </c>
      <c r="AJ33" s="762">
        <f>SUM(AJ17,AJ19,AJ21,AJ23,AJ25,AJ27,AJ29,AJ31)</f>
        <v>0</v>
      </c>
      <c r="AK33" s="763"/>
      <c r="AL33" s="763"/>
      <c r="AM33" s="166" t="s">
        <v>369</v>
      </c>
      <c r="AN33" s="764">
        <f>SUM(AN17,AN19,AN21,AN23,AN25,AN27,AN29,AN31)</f>
        <v>0</v>
      </c>
      <c r="AO33" s="765"/>
      <c r="AP33" s="765"/>
      <c r="AQ33" s="765"/>
      <c r="AR33" s="166" t="s">
        <v>369</v>
      </c>
      <c r="AS33" s="766">
        <f>SUM(AS17,AS19,AS21,AS23,AS25,AS27,AS29,AS31)</f>
        <v>0</v>
      </c>
      <c r="AT33" s="767"/>
      <c r="AU33" s="767"/>
      <c r="AV33" s="767"/>
      <c r="AW33" s="166" t="s">
        <v>369</v>
      </c>
      <c r="AX33" s="201"/>
      <c r="AY33" s="740"/>
      <c r="AZ33" s="740"/>
      <c r="BA33" s="740"/>
      <c r="BB33" s="740"/>
      <c r="BC33" s="202"/>
      <c r="BD33" s="549"/>
      <c r="BE33" s="549"/>
      <c r="BF33" s="549"/>
      <c r="BG33" s="549"/>
      <c r="BH33" s="561"/>
      <c r="BI33" s="161"/>
      <c r="BK33" s="715"/>
      <c r="BL33" s="293"/>
      <c r="BM33" s="715"/>
      <c r="BN33" s="215"/>
      <c r="BP33" s="715"/>
      <c r="BQ33" s="293"/>
      <c r="BR33" s="715"/>
    </row>
    <row r="34" spans="1:70" ht="15" customHeight="1" x14ac:dyDescent="0.15">
      <c r="A34" s="160"/>
      <c r="AS34" s="191"/>
      <c r="AT34" s="191"/>
      <c r="AU34" s="191"/>
      <c r="AV34" s="191"/>
      <c r="BI34" s="161"/>
      <c r="BK34" s="716"/>
      <c r="BL34" s="215"/>
      <c r="BM34" s="716"/>
      <c r="BN34" s="215"/>
      <c r="BP34" s="716"/>
      <c r="BQ34" s="215"/>
      <c r="BR34" s="716"/>
    </row>
    <row r="35" spans="1:70" ht="22.9" customHeight="1" x14ac:dyDescent="0.15">
      <c r="A35" s="727"/>
      <c r="B35" s="728"/>
      <c r="C35" s="728"/>
      <c r="D35" s="728"/>
      <c r="E35" s="728"/>
      <c r="F35" s="728"/>
      <c r="G35" s="741"/>
      <c r="H35" s="743" t="s">
        <v>360</v>
      </c>
      <c r="I35" s="744"/>
      <c r="J35" s="745"/>
      <c r="K35" s="746" t="s">
        <v>205</v>
      </c>
      <c r="L35" s="728"/>
      <c r="M35" s="728"/>
      <c r="N35" s="728"/>
      <c r="O35" s="728"/>
      <c r="P35" s="741"/>
      <c r="Q35" s="728" t="s">
        <v>361</v>
      </c>
      <c r="R35" s="728"/>
      <c r="S35" s="728"/>
      <c r="T35" s="728"/>
      <c r="U35" s="728"/>
      <c r="V35" s="728"/>
      <c r="W35" s="746" t="s">
        <v>362</v>
      </c>
      <c r="X35" s="728"/>
      <c r="Y35" s="728"/>
      <c r="Z35" s="728"/>
      <c r="AA35" s="728"/>
      <c r="AB35" s="728"/>
      <c r="AC35" s="741"/>
      <c r="AD35" s="728" t="s">
        <v>363</v>
      </c>
      <c r="AE35" s="728"/>
      <c r="AF35" s="728"/>
      <c r="AG35" s="728"/>
      <c r="AH35" s="728"/>
      <c r="AI35" s="728"/>
      <c r="AJ35" s="728"/>
      <c r="AK35" s="747" t="s">
        <v>364</v>
      </c>
      <c r="AL35" s="748"/>
      <c r="AM35" s="748"/>
      <c r="AN35" s="748"/>
      <c r="AO35" s="748"/>
      <c r="AP35" s="749"/>
      <c r="AQ35" s="728" t="s">
        <v>365</v>
      </c>
      <c r="AR35" s="728"/>
      <c r="AS35" s="728"/>
      <c r="AT35" s="728"/>
      <c r="AU35" s="728"/>
      <c r="AV35" s="728"/>
      <c r="AW35" s="728"/>
      <c r="AX35" s="746" t="s">
        <v>366</v>
      </c>
      <c r="AY35" s="728"/>
      <c r="AZ35" s="728"/>
      <c r="BA35" s="728"/>
      <c r="BB35" s="728"/>
      <c r="BC35" s="741"/>
      <c r="BD35" s="728" t="s">
        <v>367</v>
      </c>
      <c r="BE35" s="728"/>
      <c r="BF35" s="728"/>
      <c r="BG35" s="728"/>
      <c r="BH35" s="729"/>
      <c r="BI35" s="161"/>
      <c r="BK35" s="716"/>
      <c r="BL35" s="215"/>
      <c r="BM35" s="716"/>
      <c r="BN35" s="215"/>
      <c r="BP35" s="716"/>
      <c r="BQ35" s="215"/>
      <c r="BR35" s="716"/>
    </row>
    <row r="36" spans="1:70" ht="22.9" customHeight="1" x14ac:dyDescent="0.15">
      <c r="A36" s="733"/>
      <c r="B36" s="734"/>
      <c r="C36" s="734"/>
      <c r="D36" s="734"/>
      <c r="E36" s="734"/>
      <c r="F36" s="734"/>
      <c r="G36" s="742"/>
      <c r="H36" s="736"/>
      <c r="I36" s="736"/>
      <c r="J36" s="208" t="s">
        <v>368</v>
      </c>
      <c r="K36" s="737"/>
      <c r="L36" s="738"/>
      <c r="M36" s="738"/>
      <c r="N36" s="738"/>
      <c r="O36" s="738"/>
      <c r="P36" s="209" t="s">
        <v>369</v>
      </c>
      <c r="Q36" s="738"/>
      <c r="R36" s="738"/>
      <c r="S36" s="738"/>
      <c r="T36" s="738"/>
      <c r="U36" s="738"/>
      <c r="V36" s="208" t="s">
        <v>369</v>
      </c>
      <c r="W36" s="737"/>
      <c r="X36" s="738"/>
      <c r="Y36" s="738"/>
      <c r="Z36" s="738"/>
      <c r="AA36" s="738"/>
      <c r="AB36" s="738"/>
      <c r="AC36" s="209" t="s">
        <v>369</v>
      </c>
      <c r="AD36" s="738"/>
      <c r="AE36" s="738"/>
      <c r="AF36" s="738"/>
      <c r="AG36" s="738"/>
      <c r="AH36" s="738"/>
      <c r="AI36" s="738"/>
      <c r="AJ36" s="208" t="s">
        <v>369</v>
      </c>
      <c r="AK36" s="738"/>
      <c r="AL36" s="738"/>
      <c r="AM36" s="738"/>
      <c r="AN36" s="738"/>
      <c r="AO36" s="738"/>
      <c r="AP36" s="209" t="s">
        <v>369</v>
      </c>
      <c r="AQ36" s="738"/>
      <c r="AR36" s="738"/>
      <c r="AS36" s="738"/>
      <c r="AT36" s="738"/>
      <c r="AU36" s="738"/>
      <c r="AV36" s="738"/>
      <c r="AW36" s="208" t="s">
        <v>369</v>
      </c>
      <c r="AX36" s="738"/>
      <c r="AY36" s="738"/>
      <c r="AZ36" s="738"/>
      <c r="BA36" s="738"/>
      <c r="BB36" s="738"/>
      <c r="BC36" s="209" t="s">
        <v>369</v>
      </c>
      <c r="BD36" s="739"/>
      <c r="BE36" s="739"/>
      <c r="BF36" s="739"/>
      <c r="BG36" s="739"/>
      <c r="BH36" s="210" t="s">
        <v>369</v>
      </c>
      <c r="BI36" s="161"/>
      <c r="BK36" s="716"/>
      <c r="BL36" s="215"/>
      <c r="BM36" s="716"/>
      <c r="BN36" s="215"/>
      <c r="BP36" s="716"/>
      <c r="BQ36" s="215"/>
      <c r="BR36" s="716"/>
    </row>
    <row r="37" spans="1:70" x14ac:dyDescent="0.15">
      <c r="A37" s="727" t="s">
        <v>370</v>
      </c>
      <c r="B37" s="728"/>
      <c r="C37" s="729"/>
      <c r="D37" s="717" t="s">
        <v>314</v>
      </c>
      <c r="E37" s="718"/>
      <c r="F37" s="718"/>
      <c r="G37" s="719"/>
      <c r="H37" s="720"/>
      <c r="I37" s="721"/>
      <c r="J37" s="722"/>
      <c r="K37" s="723"/>
      <c r="L37" s="718"/>
      <c r="M37" s="718"/>
      <c r="N37" s="718"/>
      <c r="O37" s="718"/>
      <c r="P37" s="209" t="s">
        <v>369</v>
      </c>
      <c r="Q37" s="723"/>
      <c r="R37" s="718"/>
      <c r="S37" s="718"/>
      <c r="T37" s="718"/>
      <c r="U37" s="718"/>
      <c r="V37" s="208" t="s">
        <v>369</v>
      </c>
      <c r="W37" s="723"/>
      <c r="X37" s="718"/>
      <c r="Y37" s="718"/>
      <c r="Z37" s="718"/>
      <c r="AA37" s="718"/>
      <c r="AB37" s="718"/>
      <c r="AC37" s="209" t="s">
        <v>369</v>
      </c>
      <c r="AD37" s="723"/>
      <c r="AE37" s="718"/>
      <c r="AF37" s="718"/>
      <c r="AG37" s="718"/>
      <c r="AH37" s="718"/>
      <c r="AI37" s="718"/>
      <c r="AJ37" s="208" t="s">
        <v>369</v>
      </c>
      <c r="AK37" s="724"/>
      <c r="AL37" s="725"/>
      <c r="AM37" s="725"/>
      <c r="AN37" s="725"/>
      <c r="AO37" s="725"/>
      <c r="AP37" s="209" t="s">
        <v>369</v>
      </c>
      <c r="AQ37" s="726"/>
      <c r="AR37" s="718"/>
      <c r="AS37" s="718"/>
      <c r="AT37" s="718"/>
      <c r="AU37" s="718"/>
      <c r="AV37" s="718"/>
      <c r="AW37" s="208" t="s">
        <v>369</v>
      </c>
      <c r="AX37" s="723"/>
      <c r="AY37" s="718"/>
      <c r="AZ37" s="718"/>
      <c r="BA37" s="718"/>
      <c r="BB37" s="718"/>
      <c r="BC37" s="209" t="s">
        <v>369</v>
      </c>
      <c r="BD37" s="726"/>
      <c r="BE37" s="718"/>
      <c r="BF37" s="718"/>
      <c r="BG37" s="718"/>
      <c r="BH37" s="210" t="s">
        <v>369</v>
      </c>
      <c r="BI37" s="161"/>
    </row>
    <row r="38" spans="1:70" x14ac:dyDescent="0.15">
      <c r="A38" s="730"/>
      <c r="B38" s="731"/>
      <c r="C38" s="732"/>
      <c r="D38" s="717" t="s">
        <v>302</v>
      </c>
      <c r="E38" s="718"/>
      <c r="F38" s="718"/>
      <c r="G38" s="719"/>
      <c r="H38" s="720"/>
      <c r="I38" s="721"/>
      <c r="J38" s="722"/>
      <c r="K38" s="723"/>
      <c r="L38" s="718"/>
      <c r="M38" s="718"/>
      <c r="N38" s="718"/>
      <c r="O38" s="718"/>
      <c r="P38" s="209" t="s">
        <v>369</v>
      </c>
      <c r="Q38" s="723"/>
      <c r="R38" s="718"/>
      <c r="S38" s="718"/>
      <c r="T38" s="718"/>
      <c r="U38" s="718"/>
      <c r="V38" s="208" t="s">
        <v>369</v>
      </c>
      <c r="W38" s="723"/>
      <c r="X38" s="718"/>
      <c r="Y38" s="718"/>
      <c r="Z38" s="718"/>
      <c r="AA38" s="718"/>
      <c r="AB38" s="718"/>
      <c r="AC38" s="209" t="s">
        <v>369</v>
      </c>
      <c r="AD38" s="723"/>
      <c r="AE38" s="718"/>
      <c r="AF38" s="718"/>
      <c r="AG38" s="718"/>
      <c r="AH38" s="718"/>
      <c r="AI38" s="718"/>
      <c r="AJ38" s="208" t="s">
        <v>369</v>
      </c>
      <c r="AK38" s="724"/>
      <c r="AL38" s="725"/>
      <c r="AM38" s="725"/>
      <c r="AN38" s="725"/>
      <c r="AO38" s="725"/>
      <c r="AP38" s="209" t="s">
        <v>369</v>
      </c>
      <c r="AQ38" s="726"/>
      <c r="AR38" s="718"/>
      <c r="AS38" s="718"/>
      <c r="AT38" s="718"/>
      <c r="AU38" s="718"/>
      <c r="AV38" s="718"/>
      <c r="AW38" s="208" t="s">
        <v>369</v>
      </c>
      <c r="AX38" s="723"/>
      <c r="AY38" s="718"/>
      <c r="AZ38" s="718"/>
      <c r="BA38" s="718"/>
      <c r="BB38" s="718"/>
      <c r="BC38" s="209" t="s">
        <v>369</v>
      </c>
      <c r="BD38" s="723"/>
      <c r="BE38" s="718"/>
      <c r="BF38" s="718"/>
      <c r="BG38" s="718"/>
      <c r="BH38" s="210" t="s">
        <v>369</v>
      </c>
      <c r="BI38" s="161"/>
    </row>
    <row r="39" spans="1:70" x14ac:dyDescent="0.15">
      <c r="A39" s="730"/>
      <c r="B39" s="731"/>
      <c r="C39" s="732"/>
      <c r="D39" s="717" t="s">
        <v>303</v>
      </c>
      <c r="E39" s="718"/>
      <c r="F39" s="718"/>
      <c r="G39" s="719"/>
      <c r="H39" s="720"/>
      <c r="I39" s="721"/>
      <c r="J39" s="722"/>
      <c r="K39" s="723"/>
      <c r="L39" s="718"/>
      <c r="M39" s="718"/>
      <c r="N39" s="718"/>
      <c r="O39" s="718"/>
      <c r="P39" s="209" t="s">
        <v>369</v>
      </c>
      <c r="Q39" s="723"/>
      <c r="R39" s="718"/>
      <c r="S39" s="718"/>
      <c r="T39" s="718"/>
      <c r="U39" s="718"/>
      <c r="V39" s="208" t="s">
        <v>369</v>
      </c>
      <c r="W39" s="723"/>
      <c r="X39" s="718"/>
      <c r="Y39" s="718"/>
      <c r="Z39" s="718"/>
      <c r="AA39" s="718"/>
      <c r="AB39" s="718"/>
      <c r="AC39" s="209" t="s">
        <v>369</v>
      </c>
      <c r="AD39" s="723"/>
      <c r="AE39" s="718"/>
      <c r="AF39" s="718"/>
      <c r="AG39" s="718"/>
      <c r="AH39" s="718"/>
      <c r="AI39" s="718"/>
      <c r="AJ39" s="208" t="s">
        <v>369</v>
      </c>
      <c r="AK39" s="724"/>
      <c r="AL39" s="725"/>
      <c r="AM39" s="725"/>
      <c r="AN39" s="725"/>
      <c r="AO39" s="725"/>
      <c r="AP39" s="209" t="s">
        <v>369</v>
      </c>
      <c r="AQ39" s="726"/>
      <c r="AR39" s="718"/>
      <c r="AS39" s="718"/>
      <c r="AT39" s="718"/>
      <c r="AU39" s="718"/>
      <c r="AV39" s="718"/>
      <c r="AW39" s="208" t="s">
        <v>369</v>
      </c>
      <c r="AX39" s="723"/>
      <c r="AY39" s="718"/>
      <c r="AZ39" s="718"/>
      <c r="BA39" s="718"/>
      <c r="BB39" s="718"/>
      <c r="BC39" s="209" t="s">
        <v>369</v>
      </c>
      <c r="BD39" s="723"/>
      <c r="BE39" s="718"/>
      <c r="BF39" s="718"/>
      <c r="BG39" s="718"/>
      <c r="BH39" s="210" t="s">
        <v>369</v>
      </c>
      <c r="BI39" s="161"/>
    </row>
    <row r="40" spans="1:70" x14ac:dyDescent="0.15">
      <c r="A40" s="730"/>
      <c r="B40" s="731"/>
      <c r="C40" s="732"/>
      <c r="D40" s="717" t="s">
        <v>305</v>
      </c>
      <c r="E40" s="718"/>
      <c r="F40" s="718"/>
      <c r="G40" s="719"/>
      <c r="H40" s="720"/>
      <c r="I40" s="721"/>
      <c r="J40" s="722"/>
      <c r="K40" s="723"/>
      <c r="L40" s="718"/>
      <c r="M40" s="718"/>
      <c r="N40" s="718"/>
      <c r="O40" s="718"/>
      <c r="P40" s="209" t="s">
        <v>369</v>
      </c>
      <c r="Q40" s="723"/>
      <c r="R40" s="718"/>
      <c r="S40" s="718"/>
      <c r="T40" s="718"/>
      <c r="U40" s="718"/>
      <c r="V40" s="208" t="s">
        <v>369</v>
      </c>
      <c r="W40" s="723"/>
      <c r="X40" s="718"/>
      <c r="Y40" s="718"/>
      <c r="Z40" s="718"/>
      <c r="AA40" s="718"/>
      <c r="AB40" s="718"/>
      <c r="AC40" s="209" t="s">
        <v>369</v>
      </c>
      <c r="AD40" s="723"/>
      <c r="AE40" s="718"/>
      <c r="AF40" s="718"/>
      <c r="AG40" s="718"/>
      <c r="AH40" s="718"/>
      <c r="AI40" s="718"/>
      <c r="AJ40" s="208" t="s">
        <v>369</v>
      </c>
      <c r="AK40" s="724"/>
      <c r="AL40" s="725"/>
      <c r="AM40" s="725"/>
      <c r="AN40" s="725"/>
      <c r="AO40" s="725"/>
      <c r="AP40" s="209" t="s">
        <v>369</v>
      </c>
      <c r="AQ40" s="726"/>
      <c r="AR40" s="718"/>
      <c r="AS40" s="718"/>
      <c r="AT40" s="718"/>
      <c r="AU40" s="718"/>
      <c r="AV40" s="718"/>
      <c r="AW40" s="208" t="s">
        <v>369</v>
      </c>
      <c r="AX40" s="723"/>
      <c r="AY40" s="718"/>
      <c r="AZ40" s="718"/>
      <c r="BA40" s="718"/>
      <c r="BB40" s="718"/>
      <c r="BC40" s="209" t="s">
        <v>369</v>
      </c>
      <c r="BD40" s="723"/>
      <c r="BE40" s="718"/>
      <c r="BF40" s="718"/>
      <c r="BG40" s="718"/>
      <c r="BH40" s="210" t="s">
        <v>369</v>
      </c>
      <c r="BI40" s="161"/>
    </row>
    <row r="41" spans="1:70" x14ac:dyDescent="0.15">
      <c r="A41" s="733"/>
      <c r="B41" s="734"/>
      <c r="C41" s="735"/>
      <c r="D41" s="717" t="s">
        <v>308</v>
      </c>
      <c r="E41" s="718"/>
      <c r="F41" s="718"/>
      <c r="G41" s="719"/>
      <c r="H41" s="720"/>
      <c r="I41" s="721"/>
      <c r="J41" s="722"/>
      <c r="K41" s="723"/>
      <c r="L41" s="718"/>
      <c r="M41" s="718"/>
      <c r="N41" s="718"/>
      <c r="O41" s="718"/>
      <c r="P41" s="209" t="s">
        <v>369</v>
      </c>
      <c r="Q41" s="723"/>
      <c r="R41" s="718"/>
      <c r="S41" s="718"/>
      <c r="T41" s="718"/>
      <c r="U41" s="718"/>
      <c r="V41" s="208" t="s">
        <v>369</v>
      </c>
      <c r="W41" s="723"/>
      <c r="X41" s="718"/>
      <c r="Y41" s="718"/>
      <c r="Z41" s="718"/>
      <c r="AA41" s="718"/>
      <c r="AB41" s="718"/>
      <c r="AC41" s="209" t="s">
        <v>369</v>
      </c>
      <c r="AD41" s="723"/>
      <c r="AE41" s="718"/>
      <c r="AF41" s="718"/>
      <c r="AG41" s="718"/>
      <c r="AH41" s="718"/>
      <c r="AI41" s="718"/>
      <c r="AJ41" s="208" t="s">
        <v>369</v>
      </c>
      <c r="AK41" s="724"/>
      <c r="AL41" s="725"/>
      <c r="AM41" s="725"/>
      <c r="AN41" s="725"/>
      <c r="AO41" s="725"/>
      <c r="AP41" s="209" t="s">
        <v>369</v>
      </c>
      <c r="AQ41" s="726"/>
      <c r="AR41" s="718"/>
      <c r="AS41" s="718"/>
      <c r="AT41" s="718"/>
      <c r="AU41" s="718"/>
      <c r="AV41" s="718"/>
      <c r="AW41" s="208" t="s">
        <v>369</v>
      </c>
      <c r="AX41" s="723"/>
      <c r="AY41" s="718"/>
      <c r="AZ41" s="718"/>
      <c r="BA41" s="718"/>
      <c r="BB41" s="718"/>
      <c r="BC41" s="209" t="s">
        <v>369</v>
      </c>
      <c r="BD41" s="723"/>
      <c r="BE41" s="718"/>
      <c r="BF41" s="718"/>
      <c r="BG41" s="718"/>
      <c r="BH41" s="210" t="s">
        <v>369</v>
      </c>
      <c r="BI41" s="161"/>
    </row>
    <row r="42" spans="1:70" x14ac:dyDescent="0.15">
      <c r="A42" s="160" t="s">
        <v>419</v>
      </c>
      <c r="BI42" s="161"/>
    </row>
    <row r="43" spans="1:70" x14ac:dyDescent="0.15">
      <c r="A43" s="160" t="s">
        <v>438</v>
      </c>
      <c r="BI43" s="161"/>
    </row>
    <row r="44" spans="1:70" x14ac:dyDescent="0.15">
      <c r="A44" s="167"/>
      <c r="B44" s="168"/>
      <c r="C44" s="168"/>
      <c r="D44" s="168"/>
      <c r="E44" s="168"/>
      <c r="F44" s="168"/>
      <c r="G44" s="168"/>
      <c r="H44" s="168"/>
      <c r="I44" s="168"/>
      <c r="J44" s="168"/>
      <c r="K44" s="168"/>
      <c r="L44" s="168"/>
      <c r="M44" s="168"/>
      <c r="N44" s="168"/>
      <c r="O44" s="168"/>
      <c r="P44" s="168"/>
      <c r="Q44" s="168"/>
      <c r="R44" s="168"/>
      <c r="S44" s="168"/>
      <c r="T44" s="168"/>
      <c r="U44" s="168"/>
      <c r="V44" s="168"/>
      <c r="W44" s="168"/>
      <c r="X44" s="168"/>
      <c r="Y44" s="168"/>
      <c r="Z44" s="168"/>
      <c r="AA44" s="168"/>
      <c r="AB44" s="168"/>
      <c r="AC44" s="168"/>
      <c r="AD44" s="168"/>
      <c r="AE44" s="168"/>
      <c r="AF44" s="168"/>
      <c r="AG44" s="168"/>
      <c r="AH44" s="168"/>
      <c r="AI44" s="168"/>
      <c r="AJ44" s="168"/>
      <c r="AK44" s="168"/>
      <c r="AL44" s="168"/>
      <c r="AM44" s="168"/>
      <c r="AN44" s="168"/>
      <c r="AO44" s="168"/>
      <c r="AP44" s="168"/>
      <c r="AQ44" s="168"/>
      <c r="AR44" s="168"/>
      <c r="AS44" s="168"/>
      <c r="AT44" s="168"/>
      <c r="AU44" s="168"/>
      <c r="AV44" s="168"/>
      <c r="AW44" s="168"/>
      <c r="AX44" s="168"/>
      <c r="AY44" s="168"/>
      <c r="AZ44" s="168"/>
      <c r="BA44" s="168"/>
      <c r="BB44" s="168"/>
      <c r="BC44" s="168"/>
      <c r="BD44" s="168"/>
      <c r="BE44" s="168"/>
      <c r="BF44" s="168"/>
      <c r="BG44" s="168"/>
      <c r="BH44" s="168"/>
      <c r="BI44" s="166"/>
    </row>
  </sheetData>
  <sheetProtection algorithmName="SHA-512" hashValue="dWjgbE8jsr25HotbHdlOnhM3Xxii61gN5VrTnQmLkuGkHMkHcE0DVqyXbclSeKfjKTKXaDhohHa6VUMgMwiywg==" saltValue="C6K/Q3QzULhGUAIicWb3bg==" spinCount="100000" sheet="1" objects="1" scenarios="1"/>
  <mergeCells count="313">
    <mergeCell ref="AK3:AL3"/>
    <mergeCell ref="AY3:BE5"/>
    <mergeCell ref="BF3:BH5"/>
    <mergeCell ref="H5:AM5"/>
    <mergeCell ref="A7:H7"/>
    <mergeCell ref="I7:Q7"/>
    <mergeCell ref="R7:Z7"/>
    <mergeCell ref="AA7:AI7"/>
    <mergeCell ref="AJ7:AN7"/>
    <mergeCell ref="AO7:AQ7"/>
    <mergeCell ref="AR7:BB7"/>
    <mergeCell ref="BC7:BE7"/>
    <mergeCell ref="BF7:BH7"/>
    <mergeCell ref="A8:G9"/>
    <mergeCell ref="I8:P9"/>
    <mergeCell ref="R8:Y9"/>
    <mergeCell ref="AA8:AH9"/>
    <mergeCell ref="AJ8:AN9"/>
    <mergeCell ref="AO8:AQ9"/>
    <mergeCell ref="AR8:BB9"/>
    <mergeCell ref="BC8:BE9"/>
    <mergeCell ref="BF8:BH9"/>
    <mergeCell ref="A11:C15"/>
    <mergeCell ref="D11:G13"/>
    <mergeCell ref="H11:K13"/>
    <mergeCell ref="L11:BH11"/>
    <mergeCell ref="L12:Z12"/>
    <mergeCell ref="AA12:AI12"/>
    <mergeCell ref="AJ12:AM15"/>
    <mergeCell ref="AN12:AR14"/>
    <mergeCell ref="AX12:BC15"/>
    <mergeCell ref="BD12:BH15"/>
    <mergeCell ref="L13:P15"/>
    <mergeCell ref="Q13:U13"/>
    <mergeCell ref="V13:Z15"/>
    <mergeCell ref="AA13:AD15"/>
    <mergeCell ref="AE13:AI15"/>
    <mergeCell ref="Q14:U14"/>
    <mergeCell ref="Q15:U15"/>
    <mergeCell ref="D14:D15"/>
    <mergeCell ref="E14:F14"/>
    <mergeCell ref="G14:G15"/>
    <mergeCell ref="H14:H15"/>
    <mergeCell ref="I14:J14"/>
    <mergeCell ref="K14:K15"/>
    <mergeCell ref="E15:F15"/>
    <mergeCell ref="I15:J15"/>
    <mergeCell ref="AS12:AW15"/>
    <mergeCell ref="AS16:AV16"/>
    <mergeCell ref="Q17:T17"/>
    <mergeCell ref="AA17:AC17"/>
    <mergeCell ref="AE17:AH17"/>
    <mergeCell ref="AJ17:AL17"/>
    <mergeCell ref="AN17:AQ17"/>
    <mergeCell ref="AS17:AV17"/>
    <mergeCell ref="A16:C17"/>
    <mergeCell ref="D16:G17"/>
    <mergeCell ref="H16:K17"/>
    <mergeCell ref="L16:O17"/>
    <mergeCell ref="V16:Y17"/>
    <mergeCell ref="AN16:AP16"/>
    <mergeCell ref="BK17:BK18"/>
    <mergeCell ref="BM17:BM18"/>
    <mergeCell ref="A18:C19"/>
    <mergeCell ref="D18:G19"/>
    <mergeCell ref="H18:K19"/>
    <mergeCell ref="L18:O19"/>
    <mergeCell ref="V18:Y19"/>
    <mergeCell ref="AN18:AP18"/>
    <mergeCell ref="AS18:AV18"/>
    <mergeCell ref="AY18:BB18"/>
    <mergeCell ref="Q19:T19"/>
    <mergeCell ref="AA19:AC19"/>
    <mergeCell ref="AE19:AH19"/>
    <mergeCell ref="AJ19:AL19"/>
    <mergeCell ref="AN19:AQ19"/>
    <mergeCell ref="AS19:AV19"/>
    <mergeCell ref="BD17:BG18"/>
    <mergeCell ref="BD19:BH19"/>
    <mergeCell ref="BK19:BK20"/>
    <mergeCell ref="BM19:BM20"/>
    <mergeCell ref="A20:C21"/>
    <mergeCell ref="D20:G21"/>
    <mergeCell ref="H20:K21"/>
    <mergeCell ref="L20:O21"/>
    <mergeCell ref="V20:Y21"/>
    <mergeCell ref="AN20:AP20"/>
    <mergeCell ref="BK21:BK22"/>
    <mergeCell ref="BM21:BM22"/>
    <mergeCell ref="H22:K23"/>
    <mergeCell ref="L22:O23"/>
    <mergeCell ref="V22:Y23"/>
    <mergeCell ref="AN22:AP22"/>
    <mergeCell ref="AS20:AV20"/>
    <mergeCell ref="AY20:BB20"/>
    <mergeCell ref="BD20:BH33"/>
    <mergeCell ref="Q21:T21"/>
    <mergeCell ref="AA21:AC21"/>
    <mergeCell ref="AE21:AH21"/>
    <mergeCell ref="AJ21:AL21"/>
    <mergeCell ref="AN21:AQ21"/>
    <mergeCell ref="AS21:AV21"/>
    <mergeCell ref="AS22:AV22"/>
    <mergeCell ref="AY22:BB22"/>
    <mergeCell ref="Q23:T23"/>
    <mergeCell ref="AA23:AC23"/>
    <mergeCell ref="AE23:AH23"/>
    <mergeCell ref="AJ23:AL23"/>
    <mergeCell ref="AN23:AQ23"/>
    <mergeCell ref="AS23:AV23"/>
    <mergeCell ref="BK23:BK24"/>
    <mergeCell ref="BM23:BM24"/>
    <mergeCell ref="BK25:BK26"/>
    <mergeCell ref="BM25:BM26"/>
    <mergeCell ref="A26:C27"/>
    <mergeCell ref="D26:G27"/>
    <mergeCell ref="H26:K27"/>
    <mergeCell ref="L26:O27"/>
    <mergeCell ref="V26:Y27"/>
    <mergeCell ref="Q25:T25"/>
    <mergeCell ref="AA25:AC25"/>
    <mergeCell ref="AE25:AH25"/>
    <mergeCell ref="AJ25:AL25"/>
    <mergeCell ref="A24:C25"/>
    <mergeCell ref="D24:G25"/>
    <mergeCell ref="H24:K25"/>
    <mergeCell ref="L24:O25"/>
    <mergeCell ref="V24:Y25"/>
    <mergeCell ref="AN24:AP24"/>
    <mergeCell ref="AS24:AV24"/>
    <mergeCell ref="AY25:AZ25"/>
    <mergeCell ref="BA25:BB25"/>
    <mergeCell ref="A22:C23"/>
    <mergeCell ref="D22:G23"/>
    <mergeCell ref="AN25:AQ25"/>
    <mergeCell ref="AS25:AV25"/>
    <mergeCell ref="BM27:BM28"/>
    <mergeCell ref="A28:C29"/>
    <mergeCell ref="D28:G29"/>
    <mergeCell ref="H28:K29"/>
    <mergeCell ref="L28:O29"/>
    <mergeCell ref="V28:Y29"/>
    <mergeCell ref="AN28:AP28"/>
    <mergeCell ref="AN26:AP26"/>
    <mergeCell ref="AS26:AV26"/>
    <mergeCell ref="AY26:AZ26"/>
    <mergeCell ref="BA26:BB26"/>
    <mergeCell ref="Q27:T27"/>
    <mergeCell ref="AA27:AC27"/>
    <mergeCell ref="AE27:AH27"/>
    <mergeCell ref="AJ27:AL27"/>
    <mergeCell ref="AN27:AQ27"/>
    <mergeCell ref="AS27:AV27"/>
    <mergeCell ref="AS28:AV28"/>
    <mergeCell ref="Q29:T29"/>
    <mergeCell ref="AA29:AC29"/>
    <mergeCell ref="AE29:AH29"/>
    <mergeCell ref="AJ29:AL29"/>
    <mergeCell ref="AN29:AQ29"/>
    <mergeCell ref="AS29:AV29"/>
    <mergeCell ref="AY27:BB27"/>
    <mergeCell ref="BK27:BK28"/>
    <mergeCell ref="BK29:BK30"/>
    <mergeCell ref="BM29:BM30"/>
    <mergeCell ref="A30:C31"/>
    <mergeCell ref="D30:G31"/>
    <mergeCell ref="H30:K31"/>
    <mergeCell ref="L30:O31"/>
    <mergeCell ref="V30:Y31"/>
    <mergeCell ref="AN30:AP30"/>
    <mergeCell ref="AS30:AV30"/>
    <mergeCell ref="AY30:BB30"/>
    <mergeCell ref="Q31:T31"/>
    <mergeCell ref="AA31:AC31"/>
    <mergeCell ref="AE31:AH31"/>
    <mergeCell ref="AJ31:AL31"/>
    <mergeCell ref="AN31:AQ31"/>
    <mergeCell ref="AS31:AV31"/>
    <mergeCell ref="BA29:BB29"/>
    <mergeCell ref="BL27:BL28"/>
    <mergeCell ref="AY33:BB33"/>
    <mergeCell ref="A35:G36"/>
    <mergeCell ref="H35:J35"/>
    <mergeCell ref="K35:P35"/>
    <mergeCell ref="Q35:V35"/>
    <mergeCell ref="W35:AC35"/>
    <mergeCell ref="AD35:AJ35"/>
    <mergeCell ref="AK35:AP35"/>
    <mergeCell ref="AQ35:AW35"/>
    <mergeCell ref="AX35:BC35"/>
    <mergeCell ref="AA32:AC33"/>
    <mergeCell ref="AE32:AH33"/>
    <mergeCell ref="AN32:AQ32"/>
    <mergeCell ref="AS32:AV32"/>
    <mergeCell ref="AJ33:AL33"/>
    <mergeCell ref="AN33:AQ33"/>
    <mergeCell ref="AS33:AV33"/>
    <mergeCell ref="A32:C33"/>
    <mergeCell ref="D32:G33"/>
    <mergeCell ref="H32:K33"/>
    <mergeCell ref="L32:O33"/>
    <mergeCell ref="Q32:T33"/>
    <mergeCell ref="V32:Y33"/>
    <mergeCell ref="A37:C41"/>
    <mergeCell ref="D37:G37"/>
    <mergeCell ref="H37:J37"/>
    <mergeCell ref="K37:O37"/>
    <mergeCell ref="Q37:U37"/>
    <mergeCell ref="W37:AB37"/>
    <mergeCell ref="BD35:BH35"/>
    <mergeCell ref="H36:I36"/>
    <mergeCell ref="K36:O36"/>
    <mergeCell ref="Q36:U36"/>
    <mergeCell ref="W36:AB36"/>
    <mergeCell ref="AD36:AI36"/>
    <mergeCell ref="AK36:AO36"/>
    <mergeCell ref="AQ36:AV36"/>
    <mergeCell ref="AX36:BB36"/>
    <mergeCell ref="BD36:BG36"/>
    <mergeCell ref="AD37:AI37"/>
    <mergeCell ref="AK37:AO37"/>
    <mergeCell ref="AQ37:AV37"/>
    <mergeCell ref="AX37:BB37"/>
    <mergeCell ref="BD37:BG37"/>
    <mergeCell ref="D38:G38"/>
    <mergeCell ref="H38:J38"/>
    <mergeCell ref="K38:O38"/>
    <mergeCell ref="BD38:BG38"/>
    <mergeCell ref="D39:G39"/>
    <mergeCell ref="H39:J39"/>
    <mergeCell ref="K39:O39"/>
    <mergeCell ref="Q39:U39"/>
    <mergeCell ref="W39:AB39"/>
    <mergeCell ref="AD39:AI39"/>
    <mergeCell ref="AK39:AO39"/>
    <mergeCell ref="AQ39:AV39"/>
    <mergeCell ref="AX39:BB39"/>
    <mergeCell ref="D40:G40"/>
    <mergeCell ref="H40:J40"/>
    <mergeCell ref="K40:O40"/>
    <mergeCell ref="Q40:U40"/>
    <mergeCell ref="W40:AB40"/>
    <mergeCell ref="AD38:AI38"/>
    <mergeCell ref="AK38:AO38"/>
    <mergeCell ref="AQ38:AV38"/>
    <mergeCell ref="AX38:BB38"/>
    <mergeCell ref="BR27:BR28"/>
    <mergeCell ref="BP29:BP30"/>
    <mergeCell ref="BR29:BR30"/>
    <mergeCell ref="BP31:BP32"/>
    <mergeCell ref="BR31:BR32"/>
    <mergeCell ref="BP33:BP34"/>
    <mergeCell ref="D41:G41"/>
    <mergeCell ref="H41:J41"/>
    <mergeCell ref="K41:O41"/>
    <mergeCell ref="Q41:U41"/>
    <mergeCell ref="W41:AB41"/>
    <mergeCell ref="AD41:AI41"/>
    <mergeCell ref="AK41:AO41"/>
    <mergeCell ref="AQ41:AV41"/>
    <mergeCell ref="AX41:BB41"/>
    <mergeCell ref="Q38:U38"/>
    <mergeCell ref="W38:AB38"/>
    <mergeCell ref="BD41:BG41"/>
    <mergeCell ref="AD40:AI40"/>
    <mergeCell ref="AK40:AO40"/>
    <mergeCell ref="AQ40:AV40"/>
    <mergeCell ref="AX40:BB40"/>
    <mergeCell ref="BD40:BG40"/>
    <mergeCell ref="BD39:BG39"/>
    <mergeCell ref="BR17:BR18"/>
    <mergeCell ref="BP19:BP20"/>
    <mergeCell ref="BR19:BR20"/>
    <mergeCell ref="BP21:BP22"/>
    <mergeCell ref="BR21:BR22"/>
    <mergeCell ref="BP23:BP24"/>
    <mergeCell ref="BR23:BR24"/>
    <mergeCell ref="BP25:BP26"/>
    <mergeCell ref="BR25:BR26"/>
    <mergeCell ref="BQ17:BQ18"/>
    <mergeCell ref="BQ19:BQ20"/>
    <mergeCell ref="BQ21:BQ22"/>
    <mergeCell ref="BQ23:BQ24"/>
    <mergeCell ref="BQ25:BQ26"/>
    <mergeCell ref="BR33:BR34"/>
    <mergeCell ref="BP35:BP36"/>
    <mergeCell ref="BR35:BR36"/>
    <mergeCell ref="BK31:BK32"/>
    <mergeCell ref="BM31:BM32"/>
    <mergeCell ref="BK33:BK34"/>
    <mergeCell ref="BM33:BM34"/>
    <mergeCell ref="BK35:BK36"/>
    <mergeCell ref="BM35:BM36"/>
    <mergeCell ref="BQ27:BQ28"/>
    <mergeCell ref="BQ29:BQ30"/>
    <mergeCell ref="BQ31:BQ32"/>
    <mergeCell ref="BN27:BN28"/>
    <mergeCell ref="BL29:BL30"/>
    <mergeCell ref="BN29:BN30"/>
    <mergeCell ref="BL31:BL32"/>
    <mergeCell ref="BN31:BN32"/>
    <mergeCell ref="BL17:BL18"/>
    <mergeCell ref="BN17:BN18"/>
    <mergeCell ref="BL19:BL20"/>
    <mergeCell ref="BN19:BN20"/>
    <mergeCell ref="BL21:BL22"/>
    <mergeCell ref="BN21:BN22"/>
    <mergeCell ref="BL23:BL24"/>
    <mergeCell ref="BN23:BN24"/>
    <mergeCell ref="BL25:BL26"/>
    <mergeCell ref="BN25:BN26"/>
    <mergeCell ref="BP17:BP18"/>
    <mergeCell ref="BP27:BP28"/>
  </mergeCells>
  <phoneticPr fontId="8"/>
  <pageMargins left="0.7" right="0.7" top="0.75" bottom="0.75" header="0.3" footer="0.3"/>
  <pageSetup paperSize="9" scale="63" orientation="landscape" r:id="rId1"/>
  <extLst>
    <ext xmlns:x14="http://schemas.microsoft.com/office/spreadsheetml/2009/9/main" uri="{78C0D931-6437-407d-A8EE-F0AAD7539E65}">
      <x14:conditionalFormattings>
        <x14:conditionalFormatting xmlns:xm="http://schemas.microsoft.com/office/excel/2006/main">
          <x14:cfRule type="expression" priority="9" id="{06ED8D8C-A9A9-44D8-8F85-15060CDC66B9}">
            <xm:f>AND('本人旅行経路（情報連携シート）'!$E29="鉄道",'本人旅行経路（情報連携シート）'!$M29&lt;&gt;"")</xm:f>
            <x14:dxf>
              <font>
                <color auto="1"/>
              </font>
            </x14:dxf>
          </x14:cfRule>
          <xm:sqref>Q16 Q18 Q20 Q22 Q24 Q26 Q28 Q30</xm:sqref>
        </x14:conditionalFormatting>
        <x14:conditionalFormatting xmlns:xm="http://schemas.microsoft.com/office/excel/2006/main">
          <x14:cfRule type="expression" priority="8" id="{7878AA31-40B6-4CE4-B5FF-CBCAC62EB277}">
            <xm:f>AND('本人旅行経路（情報連携シート）'!$E29="鉄道",'本人旅行経路（情報連携シート）'!$K29&lt;&gt;"")</xm:f>
            <x14:dxf>
              <font>
                <color auto="1"/>
              </font>
            </x14:dxf>
          </x14:cfRule>
          <xm:sqref>R16 R18 R20 R22 R24 R26 R28 R30</xm:sqref>
        </x14:conditionalFormatting>
        <x14:conditionalFormatting xmlns:xm="http://schemas.microsoft.com/office/excel/2006/main">
          <x14:cfRule type="expression" priority="7" id="{D80FC4DD-89F3-44EA-B65F-F856B65AB128}">
            <xm:f>AND('本人旅行経路（情報連携シート）'!$E29="鉄道",'本人旅行経路（情報連携シート）'!$Q29&lt;&gt;"")</xm:f>
            <x14:dxf>
              <font>
                <color auto="1"/>
              </font>
            </x14:dxf>
          </x14:cfRule>
          <xm:sqref>T16 T18 T20 T22 T24 T26 T28 T30</xm:sqref>
        </x14:conditionalFormatting>
        <x14:conditionalFormatting xmlns:xm="http://schemas.microsoft.com/office/excel/2006/main">
          <x14:cfRule type="expression" priority="6" id="{75E8CB99-FBF2-4450-8461-57E29CC60027}">
            <xm:f>OR('本人旅行経路（情報連携シート）'!$E29="飛行機",'本人旅行経路（情報連携シート）'!$E29="ヘリ")</xm:f>
            <x14:dxf>
              <font>
                <color auto="1"/>
              </font>
            </x14:dxf>
          </x14:cfRule>
          <xm:sqref>AA16 AA18 AA20 AA22 AA24 AA26 AA28 AA30</xm:sqref>
        </x14:conditionalFormatting>
        <x14:conditionalFormatting xmlns:xm="http://schemas.microsoft.com/office/excel/2006/main">
          <x14:cfRule type="expression" priority="5" id="{66929C91-7467-4CE4-8113-81F019B132D7}">
            <xm:f>'本人旅行経路（情報連携シート）'!$E29="船"</xm:f>
            <x14:dxf>
              <font>
                <color auto="1"/>
              </font>
            </x14:dxf>
          </x14:cfRule>
          <xm:sqref>AB16 AB18 AB20 AB22 AB24 AB26 AB28 AB30</xm:sqref>
        </x14:conditionalFormatting>
        <x14:conditionalFormatting xmlns:xm="http://schemas.microsoft.com/office/excel/2006/main">
          <x14:cfRule type="expression" priority="4" id="{45842E39-73AC-41B0-AC14-37BCE4AB5DE6}">
            <xm:f>AND(OR('本人旅行経路（情報連携シート）'!$E29="飛行機",'本人旅行経路（情報連携シート）'!$E29="船",'本人旅行経路（情報連携シート）'!$E29="ヘリ"),'本人旅行経路（情報連携シート）'!$M29&lt;&gt;"")</xm:f>
            <x14:dxf>
              <font>
                <color auto="1"/>
              </font>
            </x14:dxf>
          </x14:cfRule>
          <xm:sqref>AE16 AE18 AE20 AE22 AE24 AE26 AE28 AE30</xm:sqref>
        </x14:conditionalFormatting>
        <x14:conditionalFormatting xmlns:xm="http://schemas.microsoft.com/office/excel/2006/main">
          <x14:cfRule type="expression" priority="3" id="{16D63AF6-BBF0-4BBB-A54E-B8DF83B70DA5}">
            <xm:f>AND(OR('本人旅行経路（情報連携シート）'!$E29="飛行機",'本人旅行経路（情報連携シート）'!$E1048567="ヘリ",'本人旅行経路（情報連携シート）'!$E29="船"),'本人旅行経路（情報連携シート）'!$K29&lt;&gt;"")</xm:f>
            <x14:dxf>
              <font>
                <color auto="1"/>
              </font>
            </x14:dxf>
          </x14:cfRule>
          <xm:sqref>AF16 AF18 AF20 AF22 AF24 AF26 AF28 AF30</xm:sqref>
        </x14:conditionalFormatting>
        <x14:conditionalFormatting xmlns:xm="http://schemas.microsoft.com/office/excel/2006/main">
          <x14:cfRule type="expression" priority="2" id="{14936FA6-037E-4B09-A0E5-4684F84B8126}">
            <xm:f>AND(OR('本人旅行経路（情報連携シート）'!$E29="飛行機",'本人旅行経路（情報連携シート）'!$E1048567="ヘリ",'本人旅行経路（情報連携シート）'!$E29="船"),'本人旅行経路（情報連携シート）'!$O29&lt;&gt;"")</xm:f>
            <x14:dxf>
              <font>
                <color auto="1"/>
              </font>
            </x14:dxf>
          </x14:cfRule>
          <xm:sqref>AG16 AG18 AG20 AG22 AG24 AG26 AG28 AG30</xm:sqref>
        </x14:conditionalFormatting>
        <x14:conditionalFormatting xmlns:xm="http://schemas.microsoft.com/office/excel/2006/main">
          <x14:cfRule type="expression" priority="1" id="{23CFE55C-6080-4F6D-90F7-72ADD8C6CEF7}">
            <xm:f>AND(OR('本人旅行経路（情報連携シート）'!$E29="飛行機",'本人旅行経路（情報連携シート）'!$E29="ヘリ",'本人旅行経路（情報連携シート）'!$E29="船"),'本人旅行経路（情報連携シート）'!$Q29&lt;&gt;"")</xm:f>
            <x14:dxf>
              <font>
                <color auto="1"/>
              </font>
            </x14:dxf>
          </x14:cfRule>
          <xm:sqref>AH16 AH18 AH20 AH22 AH24 AH26 AH28 AH30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theme="0" tint="-0.499984740745262"/>
  </sheetPr>
  <dimension ref="A1:M48"/>
  <sheetViews>
    <sheetView topLeftCell="C28" zoomScaleNormal="100" workbookViewId="0">
      <selection activeCell="K44" sqref="K44"/>
    </sheetView>
  </sheetViews>
  <sheetFormatPr defaultColWidth="8.875" defaultRowHeight="15.75" x14ac:dyDescent="0.15"/>
  <cols>
    <col min="1" max="1" width="43.625" style="7" bestFit="1" customWidth="1"/>
    <col min="2" max="2" width="56.875" style="7" bestFit="1" customWidth="1"/>
    <col min="3" max="3" width="12.375" style="7" customWidth="1"/>
    <col min="4" max="5" width="3.125" style="7" customWidth="1"/>
    <col min="6" max="6" width="12.5" style="7" customWidth="1"/>
    <col min="7" max="7" width="2.25" style="7" customWidth="1"/>
    <col min="8" max="8" width="21.375" style="7" bestFit="1" customWidth="1"/>
    <col min="9" max="9" width="15.375" style="7" bestFit="1" customWidth="1"/>
    <col min="10" max="10" width="11.25" style="7" bestFit="1" customWidth="1"/>
    <col min="11" max="11" width="9.875" style="7" bestFit="1" customWidth="1"/>
    <col min="12" max="16384" width="8.875" style="7"/>
  </cols>
  <sheetData>
    <row r="1" spans="1:13" x14ac:dyDescent="0.15">
      <c r="A1" s="42" t="s">
        <v>116</v>
      </c>
      <c r="B1" s="42" t="s">
        <v>156</v>
      </c>
      <c r="C1" s="42" t="s">
        <v>281</v>
      </c>
      <c r="D1" s="121" t="s">
        <v>276</v>
      </c>
      <c r="E1" s="121" t="s">
        <v>277</v>
      </c>
      <c r="F1" s="42" t="s">
        <v>275</v>
      </c>
      <c r="G1" s="120" t="s">
        <v>280</v>
      </c>
      <c r="H1" s="42" t="s">
        <v>350</v>
      </c>
      <c r="I1" s="42" t="s">
        <v>356</v>
      </c>
      <c r="J1" s="42" t="s">
        <v>359</v>
      </c>
      <c r="K1" s="146" t="s">
        <v>358</v>
      </c>
      <c r="L1" s="23"/>
      <c r="M1" s="23"/>
    </row>
    <row r="2" spans="1:13" x14ac:dyDescent="0.15">
      <c r="A2" s="7" t="s">
        <v>339</v>
      </c>
      <c r="B2" s="7" t="s">
        <v>149</v>
      </c>
      <c r="C2" s="7" t="s">
        <v>7</v>
      </c>
      <c r="D2" s="121" t="s">
        <v>259</v>
      </c>
      <c r="E2" s="121" t="s">
        <v>1</v>
      </c>
      <c r="F2" s="7">
        <v>19000</v>
      </c>
      <c r="G2" s="121" t="s">
        <v>278</v>
      </c>
      <c r="H2" s="7" t="s">
        <v>352</v>
      </c>
      <c r="I2" s="7">
        <v>2400</v>
      </c>
      <c r="J2" s="144" t="s">
        <v>442</v>
      </c>
      <c r="K2" s="144" t="str">
        <f>IF('基本情報（情報連携シート）'!F64&lt;&gt;"",VLOOKUP('基本情報（情報連携シート）'!F64,リスト!$C$2:$F$48,4,FALSE),"")</f>
        <v/>
      </c>
    </row>
    <row r="3" spans="1:13" x14ac:dyDescent="0.15">
      <c r="A3" s="7" t="s">
        <v>117</v>
      </c>
      <c r="B3" s="7" t="s">
        <v>150</v>
      </c>
      <c r="C3" s="7" t="s">
        <v>5</v>
      </c>
      <c r="D3" s="121" t="s">
        <v>260</v>
      </c>
      <c r="E3" s="121" t="s">
        <v>1</v>
      </c>
      <c r="F3" s="7">
        <v>19000</v>
      </c>
      <c r="G3" s="121" t="s">
        <v>279</v>
      </c>
      <c r="H3" s="7" t="s">
        <v>353</v>
      </c>
      <c r="I3" s="7">
        <v>0</v>
      </c>
      <c r="J3" s="144" t="s">
        <v>443</v>
      </c>
      <c r="K3" s="144" t="str">
        <f>IF('基本情報（情報連携シート）'!F65&lt;&gt;"",VLOOKUP('基本情報（情報連携シート）'!F65,リスト!$C$2:$F$48,4,FALSE),"")</f>
        <v/>
      </c>
    </row>
    <row r="4" spans="1:13" x14ac:dyDescent="0.15">
      <c r="A4" s="7" t="s">
        <v>118</v>
      </c>
      <c r="B4" s="7" t="s">
        <v>151</v>
      </c>
      <c r="C4" s="7" t="s">
        <v>6</v>
      </c>
      <c r="D4" s="121" t="s">
        <v>218</v>
      </c>
      <c r="E4" s="121" t="s">
        <v>1</v>
      </c>
      <c r="F4" s="7">
        <v>17000</v>
      </c>
      <c r="H4" s="7" t="s">
        <v>357</v>
      </c>
      <c r="I4" s="7">
        <v>2400</v>
      </c>
      <c r="J4" s="7" t="s">
        <v>444</v>
      </c>
      <c r="K4" s="7" t="str">
        <f>IF('基本情報（情報連携シート）'!L64&lt;&gt;"",VLOOKUP('基本情報（情報連携シート）'!L64,リスト!$C$2:$F$48,4,FALSE),"")</f>
        <v/>
      </c>
    </row>
    <row r="5" spans="1:13" x14ac:dyDescent="0.15">
      <c r="A5" s="7" t="s">
        <v>340</v>
      </c>
      <c r="B5" s="7" t="s">
        <v>152</v>
      </c>
      <c r="C5" s="7" t="s">
        <v>8</v>
      </c>
      <c r="D5" s="121" t="s">
        <v>261</v>
      </c>
      <c r="E5" s="121" t="s">
        <v>1</v>
      </c>
      <c r="F5" s="7">
        <v>16000</v>
      </c>
      <c r="H5" s="7" t="s">
        <v>354</v>
      </c>
      <c r="I5" s="7">
        <v>1600</v>
      </c>
      <c r="J5" s="7" t="s">
        <v>445</v>
      </c>
      <c r="K5" s="7" t="str">
        <f>IF('基本情報（情報連携シート）'!L65&lt;&gt;"",VLOOKUP('基本情報（情報連携シート）'!L65,リスト!$C$2:$F$48,4,FALSE),"")</f>
        <v/>
      </c>
    </row>
    <row r="6" spans="1:13" x14ac:dyDescent="0.15">
      <c r="A6" s="7" t="s">
        <v>119</v>
      </c>
      <c r="B6" s="7" t="s">
        <v>153</v>
      </c>
      <c r="C6" s="7" t="s">
        <v>219</v>
      </c>
      <c r="D6" s="121" t="s">
        <v>262</v>
      </c>
      <c r="E6" s="121" t="s">
        <v>1</v>
      </c>
      <c r="F6" s="7">
        <v>13000</v>
      </c>
      <c r="H6" s="7" t="s">
        <v>355</v>
      </c>
      <c r="I6" s="7">
        <v>1600</v>
      </c>
      <c r="J6" s="144" t="s">
        <v>446</v>
      </c>
      <c r="K6" s="144" t="str">
        <f>IF('基本情報（情報連携シート）'!R64&lt;&gt;"",VLOOKUP('基本情報（情報連携シート）'!R64,リスト!$C$2:$F$48,4,FALSE),"")</f>
        <v/>
      </c>
    </row>
    <row r="7" spans="1:13" x14ac:dyDescent="0.15">
      <c r="B7" s="7" t="s">
        <v>154</v>
      </c>
      <c r="C7" s="7" t="s">
        <v>220</v>
      </c>
      <c r="D7" s="121" t="s">
        <v>263</v>
      </c>
      <c r="E7" s="121" t="s">
        <v>1</v>
      </c>
      <c r="F7" s="7">
        <v>11000</v>
      </c>
      <c r="H7" s="7" t="s">
        <v>351</v>
      </c>
      <c r="I7" s="7">
        <v>800</v>
      </c>
      <c r="J7" s="144" t="s">
        <v>447</v>
      </c>
      <c r="K7" s="144" t="str">
        <f>IF('基本情報（情報連携シート）'!R65&lt;&gt;"",VLOOKUP('基本情報（情報連携シート）'!R65,リスト!$C$2:$F$48,4,FALSE),"")</f>
        <v/>
      </c>
    </row>
    <row r="8" spans="1:13" x14ac:dyDescent="0.15">
      <c r="B8" s="43"/>
      <c r="C8" s="7" t="s">
        <v>221</v>
      </c>
      <c r="D8" s="121" t="s">
        <v>264</v>
      </c>
      <c r="E8" s="121" t="s">
        <v>1</v>
      </c>
      <c r="F8" s="7">
        <v>9000</v>
      </c>
      <c r="J8" s="7" t="s">
        <v>448</v>
      </c>
      <c r="K8" s="7" t="str">
        <f>IF('基本情報（情報連携シート）'!F68&lt;&gt;"",VLOOKUP('基本情報（情報連携シート）'!F68,リスト!$C$2:$F$48,4,FALSE),"")</f>
        <v/>
      </c>
    </row>
    <row r="9" spans="1:13" x14ac:dyDescent="0.15">
      <c r="C9" s="7" t="s">
        <v>222</v>
      </c>
      <c r="D9" s="121" t="s">
        <v>265</v>
      </c>
      <c r="E9" s="121" t="s">
        <v>1</v>
      </c>
      <c r="F9" s="7">
        <v>10000</v>
      </c>
      <c r="H9" s="7" t="s">
        <v>440</v>
      </c>
      <c r="J9" s="7" t="s">
        <v>449</v>
      </c>
      <c r="K9" s="7" t="str">
        <f>IF('基本情報（情報連携シート）'!F69&lt;&gt;"",VLOOKUP('基本情報（情報連携シート）'!F69,リスト!$C$2:$F$48,4,FALSE),"")</f>
        <v/>
      </c>
    </row>
    <row r="10" spans="1:13" x14ac:dyDescent="0.15">
      <c r="C10" s="7" t="s">
        <v>223</v>
      </c>
      <c r="D10" s="121" t="s">
        <v>266</v>
      </c>
      <c r="E10" s="121" t="s">
        <v>1</v>
      </c>
      <c r="F10" s="7">
        <v>11000</v>
      </c>
      <c r="J10" s="144" t="s">
        <v>450</v>
      </c>
      <c r="K10" s="144" t="str">
        <f>IF('基本情報（情報連携シート）'!L68&lt;&gt;"",VLOOKUP('基本情報（情報連携シート）'!L68,リスト!$C$2:$F$48,4,FALSE),"")</f>
        <v/>
      </c>
    </row>
    <row r="11" spans="1:13" x14ac:dyDescent="0.15">
      <c r="C11" s="7" t="s">
        <v>224</v>
      </c>
      <c r="D11" s="121" t="s">
        <v>267</v>
      </c>
      <c r="E11" s="121" t="s">
        <v>1</v>
      </c>
      <c r="F11" s="7">
        <v>10000</v>
      </c>
      <c r="J11" s="144" t="s">
        <v>451</v>
      </c>
      <c r="K11" s="144" t="str">
        <f>IF('基本情報（情報連携シート）'!L69&lt;&gt;"",VLOOKUP('基本情報（情報連携シート）'!L69,リスト!$C$2:$F$48,4,FALSE),"")</f>
        <v/>
      </c>
    </row>
    <row r="12" spans="1:13" x14ac:dyDescent="0.15">
      <c r="C12" s="7" t="s">
        <v>225</v>
      </c>
      <c r="D12" s="121" t="s">
        <v>268</v>
      </c>
      <c r="E12" s="121" t="s">
        <v>1</v>
      </c>
      <c r="F12" s="7">
        <v>8000</v>
      </c>
      <c r="J12" s="7" t="s">
        <v>452</v>
      </c>
      <c r="K12" s="7" t="str">
        <f>IF('基本情報（情報連携シート）'!R68&lt;&gt;"",VLOOKUP('基本情報（情報連携シート）'!R68,リスト!$C$2:$F$48,4,FALSE),"")</f>
        <v/>
      </c>
    </row>
    <row r="13" spans="1:13" x14ac:dyDescent="0.15">
      <c r="C13" s="7" t="s">
        <v>226</v>
      </c>
      <c r="D13" s="121" t="s">
        <v>269</v>
      </c>
      <c r="E13" s="121" t="s">
        <v>1</v>
      </c>
      <c r="F13" s="7">
        <v>11000</v>
      </c>
      <c r="J13" s="7" t="s">
        <v>453</v>
      </c>
      <c r="K13" s="7" t="str">
        <f>IF('基本情報（情報連携シート）'!R69&lt;&gt;"",VLOOKUP('基本情報（情報連携シート）'!R69,リスト!$C$2:$F$48,4,FALSE),"")</f>
        <v/>
      </c>
    </row>
    <row r="14" spans="1:13" x14ac:dyDescent="0.15">
      <c r="C14" s="7" t="s">
        <v>227</v>
      </c>
      <c r="D14" s="121" t="s">
        <v>270</v>
      </c>
      <c r="E14" s="121" t="s">
        <v>1</v>
      </c>
      <c r="F14" s="7">
        <v>10000</v>
      </c>
      <c r="J14" s="145" t="s">
        <v>454</v>
      </c>
      <c r="K14" s="145" t="str">
        <f>IF('基本情報（情報連携シート）'!F100&lt;&gt;"",VLOOKUP('基本情報（情報連携シート）'!F100,リスト!$C$2:$F$48,4,FALSE),"")</f>
        <v/>
      </c>
    </row>
    <row r="15" spans="1:13" x14ac:dyDescent="0.15">
      <c r="C15" s="7" t="s">
        <v>228</v>
      </c>
      <c r="D15" s="121" t="s">
        <v>285</v>
      </c>
      <c r="E15" s="121" t="s">
        <v>2</v>
      </c>
      <c r="F15" s="7">
        <v>10000</v>
      </c>
      <c r="J15" s="145" t="s">
        <v>455</v>
      </c>
      <c r="K15" s="145" t="str">
        <f>IF('基本情報（情報連携シート）'!F101&lt;&gt;"",VLOOKUP('基本情報（情報連携シート）'!F101,リスト!$C$2:$F$48,4,FALSE),"")</f>
        <v/>
      </c>
    </row>
    <row r="16" spans="1:13" x14ac:dyDescent="0.15">
      <c r="C16" s="7" t="s">
        <v>229</v>
      </c>
      <c r="D16" s="121" t="s">
        <v>15</v>
      </c>
      <c r="E16" s="121" t="s">
        <v>2</v>
      </c>
      <c r="F16" s="7">
        <v>16000</v>
      </c>
      <c r="J16" s="145" t="s">
        <v>456</v>
      </c>
      <c r="K16" s="145" t="str">
        <f>IF('基本情報（情報連携シート）'!F102&lt;&gt;"",VLOOKUP('基本情報（情報連携シート）'!F102,リスト!$C$2:$F$48,4,FALSE),"")</f>
        <v/>
      </c>
    </row>
    <row r="17" spans="3:11" x14ac:dyDescent="0.15">
      <c r="C17" s="7" t="s">
        <v>230</v>
      </c>
      <c r="F17" s="7">
        <v>11000</v>
      </c>
      <c r="J17" s="145" t="s">
        <v>457</v>
      </c>
      <c r="K17" s="145" t="str">
        <f>IF('基本情報（情報連携シート）'!F103&lt;&gt;"",VLOOKUP('基本情報（情報連携シート）'!F103,リスト!$C$2:$F$48,4,FALSE),"")</f>
        <v/>
      </c>
    </row>
    <row r="18" spans="3:11" x14ac:dyDescent="0.15">
      <c r="C18" s="7" t="s">
        <v>231</v>
      </c>
      <c r="F18" s="7">
        <v>9000</v>
      </c>
      <c r="J18" s="145" t="s">
        <v>458</v>
      </c>
      <c r="K18" s="145" t="str">
        <f>IF('基本情報（情報連携シート）'!F104&lt;&gt;"",VLOOKUP('基本情報（情報連携シート）'!F104,リスト!$C$2:$F$48,4,FALSE),"")</f>
        <v/>
      </c>
    </row>
    <row r="19" spans="3:11" x14ac:dyDescent="0.15">
      <c r="C19" s="7" t="s">
        <v>232</v>
      </c>
      <c r="F19" s="7">
        <v>10000</v>
      </c>
      <c r="J19" s="7" t="s">
        <v>459</v>
      </c>
      <c r="K19" s="7" t="str">
        <f>IF('基本情報（情報連携シート）'!N100&lt;&gt;"",VLOOKUP('基本情報（情報連携シート）'!N100,リスト!$C$2:$F$48,4,FALSE),"")</f>
        <v/>
      </c>
    </row>
    <row r="20" spans="3:11" x14ac:dyDescent="0.15">
      <c r="C20" s="7" t="s">
        <v>233</v>
      </c>
      <c r="F20" s="7">
        <v>12000</v>
      </c>
      <c r="J20" s="7" t="s">
        <v>460</v>
      </c>
      <c r="K20" s="7" t="str">
        <f>IF('基本情報（情報連携シート）'!N101&lt;&gt;"",VLOOKUP('基本情報（情報連携シート）'!N101,リスト!$C$2:$F$48,4,FALSE),"")</f>
        <v/>
      </c>
    </row>
    <row r="21" spans="3:11" x14ac:dyDescent="0.15">
      <c r="C21" s="7" t="s">
        <v>234</v>
      </c>
      <c r="F21" s="7">
        <v>11000</v>
      </c>
      <c r="J21" s="7" t="s">
        <v>461</v>
      </c>
      <c r="K21" s="7" t="str">
        <f>IF('基本情報（情報連携シート）'!N102&lt;&gt;"",VLOOKUP('基本情報（情報連携シート）'!N102,リスト!$C$2:$F$48,4,FALSE),"")</f>
        <v/>
      </c>
    </row>
    <row r="22" spans="3:11" x14ac:dyDescent="0.15">
      <c r="C22" s="7" t="s">
        <v>235</v>
      </c>
      <c r="F22" s="7">
        <v>13000</v>
      </c>
      <c r="J22" s="7" t="s">
        <v>462</v>
      </c>
      <c r="K22" s="7" t="str">
        <f>IF('基本情報（情報連携シート）'!N103&lt;&gt;"",VLOOKUP('基本情報（情報連携シート）'!N103,リスト!$C$2:$F$48,4,FALSE),"")</f>
        <v/>
      </c>
    </row>
    <row r="23" spans="3:11" x14ac:dyDescent="0.15">
      <c r="C23" s="7" t="s">
        <v>236</v>
      </c>
      <c r="F23" s="7">
        <v>9000</v>
      </c>
      <c r="J23" s="7" t="s">
        <v>463</v>
      </c>
      <c r="K23" s="7" t="str">
        <f>IF('基本情報（情報連携シート）'!N104&lt;&gt;"",VLOOKUP('基本情報（情報連携シート）'!N104,リスト!$C$2:$F$48,4,FALSE),"")</f>
        <v/>
      </c>
    </row>
    <row r="24" spans="3:11" x14ac:dyDescent="0.15">
      <c r="C24" s="7" t="s">
        <v>9</v>
      </c>
      <c r="F24" s="7">
        <v>11000</v>
      </c>
      <c r="J24" s="145" t="s">
        <v>464</v>
      </c>
      <c r="K24" s="145" t="str">
        <f>IF('基本情報（情報連携シート）'!V100&lt;&gt;"",VLOOKUP('基本情報（情報連携シート）'!V100,リスト!$C$2:$F$48,4,FALSE),"")</f>
        <v/>
      </c>
    </row>
    <row r="25" spans="3:11" x14ac:dyDescent="0.15">
      <c r="C25" s="7" t="s">
        <v>237</v>
      </c>
      <c r="F25" s="7">
        <v>9000</v>
      </c>
      <c r="J25" s="145" t="s">
        <v>465</v>
      </c>
      <c r="K25" s="145" t="str">
        <f>IF('基本情報（情報連携シート）'!V101&lt;&gt;"",VLOOKUP('基本情報（情報連携シート）'!V101,リスト!$C$2:$F$48,4,FALSE),"")</f>
        <v/>
      </c>
    </row>
    <row r="26" spans="3:11" x14ac:dyDescent="0.15">
      <c r="C26" s="7" t="s">
        <v>238</v>
      </c>
      <c r="F26" s="7">
        <v>11000</v>
      </c>
      <c r="J26" s="145" t="s">
        <v>466</v>
      </c>
      <c r="K26" s="145" t="str">
        <f>IF('基本情報（情報連携シート）'!V102&lt;&gt;"",VLOOKUP('基本情報（情報連携シート）'!V102,リスト!$C$2:$F$48,4,FALSE),"")</f>
        <v/>
      </c>
    </row>
    <row r="27" spans="3:11" x14ac:dyDescent="0.15">
      <c r="C27" s="7" t="s">
        <v>10</v>
      </c>
      <c r="F27" s="7">
        <v>19000</v>
      </c>
      <c r="J27" s="145" t="s">
        <v>467</v>
      </c>
      <c r="K27" s="145" t="str">
        <f>IF('基本情報（情報連携シート）'!V103&lt;&gt;"",VLOOKUP('基本情報（情報連携シート）'!V103,リスト!$C$2:$F$48,4,FALSE),"")</f>
        <v/>
      </c>
    </row>
    <row r="28" spans="3:11" x14ac:dyDescent="0.15">
      <c r="C28" s="7" t="s">
        <v>11</v>
      </c>
      <c r="F28" s="7">
        <v>13000</v>
      </c>
      <c r="J28" s="145" t="s">
        <v>468</v>
      </c>
      <c r="K28" s="145" t="str">
        <f>IF('基本情報（情報連携シート）'!V104&lt;&gt;"",VLOOKUP('基本情報（情報連携シート）'!V104,リスト!$C$2:$F$48,4,FALSE),"")</f>
        <v/>
      </c>
    </row>
    <row r="29" spans="3:11" x14ac:dyDescent="0.15">
      <c r="C29" s="7" t="s">
        <v>12</v>
      </c>
      <c r="F29" s="7">
        <v>12000</v>
      </c>
      <c r="J29" s="7" t="s">
        <v>469</v>
      </c>
      <c r="K29" s="7" t="str">
        <f>IF('基本情報（情報連携シート）'!F108&lt;&gt;"",VLOOKUP('基本情報（情報連携シート）'!F108,リスト!$C$2:$F$48,4,FALSE),"")</f>
        <v/>
      </c>
    </row>
    <row r="30" spans="3:11" x14ac:dyDescent="0.15">
      <c r="C30" s="7" t="s">
        <v>239</v>
      </c>
      <c r="F30" s="7">
        <v>11000</v>
      </c>
      <c r="J30" s="7" t="s">
        <v>470</v>
      </c>
      <c r="K30" s="7" t="str">
        <f>IF('基本情報（情報連携シート）'!F109&lt;&gt;"",VLOOKUP('基本情報（情報連携シート）'!F109,リスト!$C$2:$F$48,4,FALSE),"")</f>
        <v/>
      </c>
    </row>
    <row r="31" spans="3:11" x14ac:dyDescent="0.15">
      <c r="C31" s="7" t="s">
        <v>240</v>
      </c>
      <c r="F31" s="7">
        <v>11000</v>
      </c>
      <c r="J31" s="7" t="s">
        <v>471</v>
      </c>
      <c r="K31" s="7" t="str">
        <f>IF('基本情報（情報連携シート）'!F110&lt;&gt;"",VLOOKUP('基本情報（情報連携シート）'!F110,リスト!$C$2:$F$48,4,FALSE),"")</f>
        <v/>
      </c>
    </row>
    <row r="32" spans="3:11" x14ac:dyDescent="0.15">
      <c r="C32" s="7" t="s">
        <v>241</v>
      </c>
      <c r="F32" s="7">
        <v>8000</v>
      </c>
      <c r="J32" s="7" t="s">
        <v>472</v>
      </c>
      <c r="K32" s="7" t="str">
        <f>IF('基本情報（情報連携シート）'!F111&lt;&gt;"",VLOOKUP('基本情報（情報連携シート）'!F111,リスト!$C$2:$F$48,4,FALSE),"")</f>
        <v/>
      </c>
    </row>
    <row r="33" spans="3:11" x14ac:dyDescent="0.15">
      <c r="C33" s="7" t="s">
        <v>242</v>
      </c>
      <c r="F33" s="7">
        <v>9000</v>
      </c>
      <c r="J33" s="7" t="s">
        <v>473</v>
      </c>
      <c r="K33" s="7" t="str">
        <f>IF('基本情報（情報連携シート）'!F112&lt;&gt;"",VLOOKUP('基本情報（情報連携シート）'!F112,リスト!$C$2:$F$48,4,FALSE),"")</f>
        <v/>
      </c>
    </row>
    <row r="34" spans="3:11" x14ac:dyDescent="0.15">
      <c r="C34" s="7" t="s">
        <v>243</v>
      </c>
      <c r="F34" s="7">
        <v>10000</v>
      </c>
      <c r="J34" s="145" t="s">
        <v>474</v>
      </c>
      <c r="K34" s="145" t="str">
        <f>IF('基本情報（情報連携シート）'!N108&lt;&gt;"",VLOOKUP('基本情報（情報連携シート）'!N108,リスト!$C$2:$F$48,4,FALSE),"")</f>
        <v/>
      </c>
    </row>
    <row r="35" spans="3:11" x14ac:dyDescent="0.15">
      <c r="C35" s="7" t="s">
        <v>14</v>
      </c>
      <c r="F35" s="7">
        <v>13000</v>
      </c>
      <c r="J35" s="145" t="s">
        <v>475</v>
      </c>
      <c r="K35" s="145" t="str">
        <f>IF('基本情報（情報連携シート）'!N109&lt;&gt;"",VLOOKUP('基本情報（情報連携シート）'!N109,リスト!$C$2:$F$48,4,FALSE),"")</f>
        <v/>
      </c>
    </row>
    <row r="36" spans="3:11" x14ac:dyDescent="0.15">
      <c r="C36" s="7" t="s">
        <v>244</v>
      </c>
      <c r="F36" s="7">
        <v>8000</v>
      </c>
      <c r="J36" s="145" t="s">
        <v>476</v>
      </c>
      <c r="K36" s="145" t="str">
        <f>IF('基本情報（情報連携シート）'!N110&lt;&gt;"",VLOOKUP('基本情報（情報連携シート）'!N110,リスト!$C$2:$F$48,4,FALSE),"")</f>
        <v/>
      </c>
    </row>
    <row r="37" spans="3:11" x14ac:dyDescent="0.15">
      <c r="C37" s="7" t="s">
        <v>245</v>
      </c>
      <c r="F37" s="7">
        <v>10000</v>
      </c>
      <c r="J37" s="145" t="s">
        <v>477</v>
      </c>
      <c r="K37" s="145" t="str">
        <f>IF('基本情報（情報連携シート）'!N111&lt;&gt;"",VLOOKUP('基本情報（情報連携シート）'!N111,リスト!$C$2:$F$48,4,FALSE),"")</f>
        <v/>
      </c>
    </row>
    <row r="38" spans="3:11" x14ac:dyDescent="0.15">
      <c r="C38" s="7" t="s">
        <v>246</v>
      </c>
      <c r="F38" s="7">
        <v>15000</v>
      </c>
      <c r="J38" s="145" t="s">
        <v>478</v>
      </c>
      <c r="K38" s="145" t="str">
        <f>IF('基本情報（情報連携シート）'!N112&lt;&gt;"",VLOOKUP('基本情報（情報連携シート）'!N112,リスト!$C$2:$F$48,4,FALSE),"")</f>
        <v/>
      </c>
    </row>
    <row r="39" spans="3:11" x14ac:dyDescent="0.15">
      <c r="C39" s="7" t="s">
        <v>247</v>
      </c>
      <c r="F39" s="7">
        <v>10000</v>
      </c>
      <c r="J39" s="7" t="s">
        <v>479</v>
      </c>
      <c r="K39" s="7" t="str">
        <f>IF('基本情報（情報連携シート）'!V108&lt;&gt;"",VLOOKUP('基本情報（情報連携シート）'!V108,リスト!$C$2:$F$48,4,FALSE),"")</f>
        <v/>
      </c>
    </row>
    <row r="40" spans="3:11" x14ac:dyDescent="0.15">
      <c r="C40" s="7" t="s">
        <v>248</v>
      </c>
      <c r="F40" s="7">
        <v>11000</v>
      </c>
      <c r="J40" s="7" t="s">
        <v>480</v>
      </c>
      <c r="K40" s="7" t="str">
        <f>IF('基本情報（情報連携シート）'!V109&lt;&gt;"",VLOOKUP('基本情報（情報連携シート）'!V109,リスト!$C$2:$F$48,4,FALSE),"")</f>
        <v/>
      </c>
    </row>
    <row r="41" spans="3:11" x14ac:dyDescent="0.15">
      <c r="C41" s="7" t="s">
        <v>13</v>
      </c>
      <c r="F41" s="7">
        <v>18000</v>
      </c>
      <c r="J41" s="7" t="s">
        <v>481</v>
      </c>
      <c r="K41" s="7" t="str">
        <f>IF('基本情報（情報連携シート）'!V110&lt;&gt;"",VLOOKUP('基本情報（情報連携シート）'!V110,リスト!$C$2:$F$48,4,FALSE),"")</f>
        <v/>
      </c>
    </row>
    <row r="42" spans="3:11" x14ac:dyDescent="0.15">
      <c r="C42" s="7" t="s">
        <v>249</v>
      </c>
      <c r="F42" s="7">
        <v>11000</v>
      </c>
      <c r="J42" s="7" t="s">
        <v>482</v>
      </c>
      <c r="K42" s="7" t="str">
        <f>IF('基本情報（情報連携シート）'!V111&lt;&gt;"",VLOOKUP('基本情報（情報連携シート）'!V111,リスト!$C$2:$F$48,4,FALSE),"")</f>
        <v/>
      </c>
    </row>
    <row r="43" spans="3:11" x14ac:dyDescent="0.15">
      <c r="C43" s="7" t="s">
        <v>250</v>
      </c>
      <c r="F43" s="7">
        <v>11000</v>
      </c>
      <c r="J43" s="7" t="s">
        <v>483</v>
      </c>
      <c r="K43" s="7" t="str">
        <f>IF('基本情報（情報連携シート）'!V112&lt;&gt;"",VLOOKUP('基本情報（情報連携シート）'!V112,リスト!$C$2:$F$48,4,FALSE),"")</f>
        <v/>
      </c>
    </row>
    <row r="44" spans="3:11" x14ac:dyDescent="0.15">
      <c r="C44" s="7" t="s">
        <v>251</v>
      </c>
      <c r="F44" s="7">
        <v>14000</v>
      </c>
    </row>
    <row r="45" spans="3:11" x14ac:dyDescent="0.15">
      <c r="C45" s="7" t="s">
        <v>252</v>
      </c>
      <c r="F45" s="7">
        <v>11000</v>
      </c>
    </row>
    <row r="46" spans="3:11" x14ac:dyDescent="0.15">
      <c r="C46" s="7" t="s">
        <v>253</v>
      </c>
      <c r="F46" s="7">
        <v>12000</v>
      </c>
    </row>
    <row r="47" spans="3:11" x14ac:dyDescent="0.15">
      <c r="C47" s="7" t="s">
        <v>254</v>
      </c>
      <c r="F47" s="7">
        <v>12000</v>
      </c>
    </row>
    <row r="48" spans="3:11" x14ac:dyDescent="0.15">
      <c r="C48" s="7" t="s">
        <v>255</v>
      </c>
      <c r="F48" s="7">
        <v>11000</v>
      </c>
    </row>
  </sheetData>
  <autoFilter ref="C1:F48" xr:uid="{F205378E-6EAF-4695-A9EB-99073FDE4860}"/>
  <phoneticPr fontId="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0" tint="-0.499984740745262"/>
    <pageSetUpPr fitToPage="1"/>
  </sheetPr>
  <dimension ref="A1:J32"/>
  <sheetViews>
    <sheetView zoomScale="85" zoomScaleNormal="85" workbookViewId="0">
      <selection activeCell="I7" sqref="I7"/>
    </sheetView>
  </sheetViews>
  <sheetFormatPr defaultColWidth="10" defaultRowHeight="13.5" x14ac:dyDescent="0.15"/>
  <cols>
    <col min="1" max="1" width="4.25" style="2" customWidth="1"/>
    <col min="2" max="2" width="14.5" style="2" customWidth="1"/>
    <col min="3" max="3" width="7.625" style="2" customWidth="1"/>
    <col min="4" max="4" width="6.125" style="2" customWidth="1"/>
    <col min="5" max="5" width="14.5" style="2" customWidth="1"/>
    <col min="6" max="6" width="27.5" style="2" customWidth="1"/>
    <col min="7" max="7" width="17.75" style="2" customWidth="1"/>
    <col min="8" max="8" width="43.25" style="2" customWidth="1"/>
    <col min="9" max="10" width="10.5" style="2" customWidth="1"/>
    <col min="11" max="16384" width="10" style="2"/>
  </cols>
  <sheetData>
    <row r="1" spans="1:10" x14ac:dyDescent="0.15">
      <c r="B1" s="2" t="s">
        <v>101</v>
      </c>
      <c r="C1" s="2">
        <f>経路検索1!C1+経路検索2!C1+経路検索3!C1</f>
        <v>0</v>
      </c>
    </row>
    <row r="2" spans="1:10" x14ac:dyDescent="0.15">
      <c r="A2" s="2" t="s">
        <v>102</v>
      </c>
      <c r="B2" s="2" t="s">
        <v>103</v>
      </c>
      <c r="C2" s="2" t="s">
        <v>104</v>
      </c>
      <c r="D2" s="2" t="s">
        <v>105</v>
      </c>
      <c r="E2" s="2" t="s">
        <v>106</v>
      </c>
      <c r="F2" s="2" t="s">
        <v>107</v>
      </c>
      <c r="G2" s="2" t="s">
        <v>25</v>
      </c>
      <c r="H2" s="2" t="s">
        <v>108</v>
      </c>
      <c r="I2" s="2" t="s">
        <v>28</v>
      </c>
      <c r="J2" s="2" t="s">
        <v>46</v>
      </c>
    </row>
    <row r="3" spans="1:10" ht="37.5" customHeight="1" x14ac:dyDescent="0.15">
      <c r="A3" s="2">
        <v>1</v>
      </c>
      <c r="B3" s="2">
        <f>IF(経路検索!$A3&lt;=経路検索1!$C$1,"経路検索1",IF($A3-(経路検索1!$C$1)&lt;=経路検索2!$C$1,"経路検索2",IF($A3-(経路検索1!$C$1)-(経路検索2!$C$1)&lt;=経路検索3!$C$1,"経路検索3",0)))</f>
        <v>0</v>
      </c>
      <c r="C3" s="2">
        <f>COUNTIF($B$3:B3,B3)</f>
        <v>1</v>
      </c>
      <c r="D3" s="2">
        <f t="shared" ref="D3:D20" si="0">COUNTIF($B$3:$B$30,B3)</f>
        <v>20</v>
      </c>
      <c r="E3" s="2" t="e">
        <f ca="1">MATCH(IF(C3=D3,10,C3),INDIRECT(B3&amp;"!A1:A32"),0)</f>
        <v>#REF!</v>
      </c>
      <c r="F3" s="6" t="e">
        <f t="array" aca="1" ref="F3" ca="1">OFFSET(INDIRECT($B3&amp;"!A1"),$E3-1,2)</f>
        <v>#REF!</v>
      </c>
      <c r="G3" s="6" t="e">
        <f ca="1">F3&amp;"-"&amp;F4</f>
        <v>#REF!</v>
      </c>
      <c r="H3" s="6" t="e">
        <f ca="1">OFFSET(INDIRECT($B3&amp;"!A1"),$E3-3,7)</f>
        <v>#REF!</v>
      </c>
      <c r="I3" s="6" t="e">
        <f t="array" aca="1" ref="I3" ca="1">OFFSET(INDIRECT($B3&amp;"!A1"),$E3-2,7)</f>
        <v>#REF!</v>
      </c>
      <c r="J3" s="6" t="e">
        <f t="array" aca="1" ref="J3" ca="1">OFFSET(INDIRECT($B3&amp;"!A1"),$E3-1,7)</f>
        <v>#REF!</v>
      </c>
    </row>
    <row r="4" spans="1:10" x14ac:dyDescent="0.15">
      <c r="A4" s="2">
        <v>2</v>
      </c>
      <c r="B4" s="2">
        <f>IF(経路検索!$A4&lt;=経路検索1!$C$1,"経路検索1",IF($A4-(経路検索1!$C$1)&lt;=経路検索2!$C$1,"経路検索2",IF($A4-(経路検索1!$C$1)-(経路検索2!$C$1)&lt;=経路検索3!$C$1,"経路検索3",0)))</f>
        <v>0</v>
      </c>
      <c r="C4" s="2">
        <f>COUNTIF($B$3:B4,B4)</f>
        <v>2</v>
      </c>
      <c r="D4" s="2">
        <f t="shared" si="0"/>
        <v>20</v>
      </c>
      <c r="E4" s="2" t="e">
        <f t="shared" ref="E4:E6" ca="1" si="1">MATCH(IF(C4=D4,10,C4),INDIRECT(B4&amp;"!A1:A32"),0)</f>
        <v>#REF!</v>
      </c>
      <c r="F4" s="6" t="e">
        <f t="array" aca="1" ref="F4" ca="1">OFFSET(INDIRECT($B4&amp;"!A1"),$E4-1,2)</f>
        <v>#REF!</v>
      </c>
      <c r="G4" s="6" t="e">
        <f t="shared" ref="G4:G22" ca="1" si="2">F4&amp;"-"&amp;F5</f>
        <v>#REF!</v>
      </c>
      <c r="H4" s="6" t="e">
        <f t="array" aca="1" ref="H4" ca="1">OFFSET(INDIRECT($B4&amp;"!A1"),$E4-3,7)</f>
        <v>#REF!</v>
      </c>
      <c r="I4" s="6" t="e">
        <f t="array" aca="1" ref="I4" ca="1">OFFSET(INDIRECT($B4&amp;"!A1"),$E4-2,7)</f>
        <v>#REF!</v>
      </c>
      <c r="J4" s="6" t="e">
        <f t="array" aca="1" ref="J4" ca="1">OFFSET(INDIRECT($B4&amp;"!A1"),$E4-1,7)</f>
        <v>#REF!</v>
      </c>
    </row>
    <row r="5" spans="1:10" x14ac:dyDescent="0.15">
      <c r="A5" s="2">
        <v>3</v>
      </c>
      <c r="B5" s="2">
        <f>IF(経路検索!$A5&lt;=経路検索1!$C$1,"経路検索1",IF($A5-(経路検索1!$C$1)&lt;=経路検索2!$C$1,"経路検索2",IF($A5-(経路検索1!$C$1)-(経路検索2!$C$1)&lt;=経路検索3!$C$1,"経路検索3",0)))</f>
        <v>0</v>
      </c>
      <c r="C5" s="2">
        <f>COUNTIF($B$3:B5,B5)</f>
        <v>3</v>
      </c>
      <c r="D5" s="2">
        <f t="shared" si="0"/>
        <v>20</v>
      </c>
      <c r="E5" s="2" t="e">
        <f t="shared" ca="1" si="1"/>
        <v>#REF!</v>
      </c>
      <c r="F5" s="6" t="e">
        <f t="array" aca="1" ref="F5" ca="1">OFFSET(INDIRECT($B5&amp;"!A1"),$E5-1,2)</f>
        <v>#REF!</v>
      </c>
      <c r="G5" s="6" t="e">
        <f ca="1">F5&amp;"-"&amp;F6</f>
        <v>#REF!</v>
      </c>
      <c r="H5" s="6" t="e">
        <f t="array" aca="1" ref="H5" ca="1">OFFSET(INDIRECT($B5&amp;"!A1"),$E5-3,7)</f>
        <v>#REF!</v>
      </c>
      <c r="I5" s="6" t="e">
        <f t="array" aca="1" ref="I5" ca="1">OFFSET(INDIRECT($B5&amp;"!A1"),$E5-2,7)</f>
        <v>#REF!</v>
      </c>
      <c r="J5" s="6" t="e">
        <f t="array" aca="1" ref="J5" ca="1">OFFSET(INDIRECT($B5&amp;"!A1"),$E5-1,7)</f>
        <v>#REF!</v>
      </c>
    </row>
    <row r="6" spans="1:10" x14ac:dyDescent="0.15">
      <c r="A6" s="2">
        <v>4</v>
      </c>
      <c r="B6" s="2">
        <f>IF(経路検索!$A6&lt;=経路検索1!$C$1,"経路検索1",IF($A6-(経路検索1!$C$1)&lt;=経路検索2!$C$1,"経路検索2",IF($A6-(経路検索1!$C$1)-(経路検索2!$C$1)&lt;=経路検索3!$C$1,"経路検索3",0)))</f>
        <v>0</v>
      </c>
      <c r="C6" s="2">
        <f>COUNTIF($B$3:B6,B6)</f>
        <v>4</v>
      </c>
      <c r="D6" s="2">
        <f t="shared" si="0"/>
        <v>20</v>
      </c>
      <c r="E6" s="2" t="e">
        <f t="shared" ca="1" si="1"/>
        <v>#REF!</v>
      </c>
      <c r="F6" s="6" t="e">
        <f t="array" aca="1" ref="F6" ca="1">OFFSET(INDIRECT($B6&amp;"!A1"),$E6-1,2)</f>
        <v>#REF!</v>
      </c>
      <c r="G6" s="6" t="e">
        <f ca="1">F6&amp;"-"&amp;F7</f>
        <v>#REF!</v>
      </c>
      <c r="H6" s="6" t="e">
        <f t="array" aca="1" ref="H6" ca="1">OFFSET(INDIRECT($B6&amp;"!A1"),$E6-3,7)</f>
        <v>#REF!</v>
      </c>
      <c r="I6" s="6" t="e">
        <f t="array" aca="1" ref="I6" ca="1">OFFSET(INDIRECT($B6&amp;"!A1"),$E6-2,7)</f>
        <v>#REF!</v>
      </c>
      <c r="J6" s="6" t="e">
        <f t="array" aca="1" ref="J6" ca="1">OFFSET(INDIRECT($B6&amp;"!A1"),$E6-1,7)</f>
        <v>#REF!</v>
      </c>
    </row>
    <row r="7" spans="1:10" x14ac:dyDescent="0.15">
      <c r="A7" s="2">
        <v>5</v>
      </c>
      <c r="B7" s="2">
        <f>IF(経路検索!$A7&lt;=経路検索1!$C$1,"経路検索1",IF($A7-(経路検索1!$C$1)&lt;=経路検索2!$C$1,"経路検索2",IF($A7-(経路検索1!$C$1)-(経路検索2!$C$1)&lt;=経路検索3!$C$1,"経路検索3",0)))</f>
        <v>0</v>
      </c>
      <c r="C7" s="2">
        <f>COUNTIF($B$3:B7,B7)</f>
        <v>5</v>
      </c>
      <c r="D7" s="2">
        <f t="shared" si="0"/>
        <v>20</v>
      </c>
      <c r="E7" s="2" t="e">
        <f ca="1">MATCH(IF(C7=D7,10,C7),INDIRECT(B7&amp;"!A1:A32"),0)</f>
        <v>#REF!</v>
      </c>
      <c r="F7" s="6" t="e">
        <f t="array" aca="1" ref="F7" ca="1">OFFSET(INDIRECT($B7&amp;"!A1"),$E7-1,2)</f>
        <v>#REF!</v>
      </c>
      <c r="G7" s="6" t="e">
        <f ca="1">F7&amp;"-"&amp;F8</f>
        <v>#REF!</v>
      </c>
      <c r="H7" s="6" t="e">
        <f t="array" aca="1" ref="H7" ca="1">OFFSET(INDIRECT($B7&amp;"!A1"),$E7-3,7)</f>
        <v>#REF!</v>
      </c>
      <c r="I7" s="6" t="e">
        <f t="array" aca="1" ref="I7" ca="1">OFFSET(INDIRECT($B7&amp;"!A1"),$E7-2,7)</f>
        <v>#REF!</v>
      </c>
      <c r="J7" s="6" t="e">
        <f t="array" aca="1" ref="J7" ca="1">OFFSET(INDIRECT($B7&amp;"!A1"),$E7-1,7)</f>
        <v>#REF!</v>
      </c>
    </row>
    <row r="8" spans="1:10" x14ac:dyDescent="0.15">
      <c r="A8" s="2">
        <v>6</v>
      </c>
      <c r="B8" s="2">
        <f>IF(経路検索!$A8&lt;=経路検索1!$C$1,"経路検索1",IF($A8-(経路検索1!$C$1)&lt;=経路検索2!$C$1,"経路検索2",IF($A8-(経路検索1!$C$1)-(経路検索2!$C$1)&lt;=経路検索3!$C$1,"経路検索3",0)))</f>
        <v>0</v>
      </c>
      <c r="C8" s="2">
        <f>COUNTIF($B$3:B8,B8)</f>
        <v>6</v>
      </c>
      <c r="D8" s="2">
        <f t="shared" si="0"/>
        <v>20</v>
      </c>
      <c r="E8" s="2" t="e">
        <f ca="1">MATCH(IF(C8=D8,10,C8),INDIRECT(B8&amp;"!A1:A32"),0)</f>
        <v>#REF!</v>
      </c>
      <c r="F8" s="6" t="e">
        <f t="array" aca="1" ref="F8" ca="1">OFFSET(INDIRECT($B8&amp;"!A1"),$E8-1,2)</f>
        <v>#REF!</v>
      </c>
      <c r="G8" s="6" t="e">
        <f t="shared" ca="1" si="2"/>
        <v>#REF!</v>
      </c>
      <c r="H8" s="6" t="e">
        <f t="array" aca="1" ref="H8" ca="1">OFFSET(INDIRECT($B8&amp;"!A1"),$E8-3,7)</f>
        <v>#REF!</v>
      </c>
      <c r="I8" s="6" t="e">
        <f t="array" aca="1" ref="I8" ca="1">OFFSET(INDIRECT($B8&amp;"!A1"),$E8-2,7)</f>
        <v>#REF!</v>
      </c>
      <c r="J8" s="6" t="e">
        <f t="array" aca="1" ref="J8" ca="1">OFFSET(INDIRECT($B8&amp;"!A1"),$E8-1,7)</f>
        <v>#REF!</v>
      </c>
    </row>
    <row r="9" spans="1:10" x14ac:dyDescent="0.15">
      <c r="A9" s="2">
        <v>7</v>
      </c>
      <c r="B9" s="2">
        <f>IF(経路検索!$A9&lt;=経路検索1!$C$1,"経路検索1",IF($A9-(経路検索1!$C$1)&lt;=経路検索2!$C$1,"経路検索2",IF($A9-(経路検索1!$C$1)-(経路検索2!$C$1)&lt;=経路検索3!$C$1,"経路検索3",0)))</f>
        <v>0</v>
      </c>
      <c r="C9" s="2">
        <f>COUNTIF($B$3:B9,B9)</f>
        <v>7</v>
      </c>
      <c r="D9" s="2">
        <f t="shared" si="0"/>
        <v>20</v>
      </c>
      <c r="E9" s="2" t="e">
        <f ca="1">MATCH(IF(C9=D9,10,C9),INDIRECT(B9&amp;"!A1:A32"),0)</f>
        <v>#REF!</v>
      </c>
      <c r="F9" s="6" t="e">
        <f t="array" aca="1" ref="F9" ca="1">OFFSET(INDIRECT($B9&amp;"!A1"),$E9-1,2)</f>
        <v>#REF!</v>
      </c>
      <c r="G9" s="6" t="e">
        <f t="shared" ca="1" si="2"/>
        <v>#REF!</v>
      </c>
      <c r="H9" s="6" t="e">
        <f t="array" aca="1" ref="H9" ca="1">OFFSET(INDIRECT($B9&amp;"!A1"),$E9-3,7)</f>
        <v>#REF!</v>
      </c>
      <c r="I9" s="6" t="e">
        <f t="array" aca="1" ref="I9" ca="1">OFFSET(INDIRECT($B9&amp;"!A1"),$E9-2,7)</f>
        <v>#REF!</v>
      </c>
      <c r="J9" s="6" t="e">
        <f t="array" aca="1" ref="J9" ca="1">OFFSET(INDIRECT($B9&amp;"!A1"),$E9-1,7)</f>
        <v>#REF!</v>
      </c>
    </row>
    <row r="10" spans="1:10" x14ac:dyDescent="0.15">
      <c r="A10" s="2">
        <v>8</v>
      </c>
      <c r="B10" s="2">
        <f>IF(経路検索!$A10&lt;=経路検索1!$C$1,"経路検索1",IF($A10-(経路検索1!$C$1)&lt;=経路検索2!$C$1,"経路検索2",IF($A10-(経路検索1!$C$1)-(経路検索2!$C$1)&lt;=経路検索3!$C$1,"経路検索3",0)))</f>
        <v>0</v>
      </c>
      <c r="C10" s="2">
        <f>COUNTIF($B$3:B10,B10)</f>
        <v>8</v>
      </c>
      <c r="D10" s="2">
        <f t="shared" si="0"/>
        <v>20</v>
      </c>
      <c r="E10" s="2" t="e">
        <f t="shared" ref="E10:E20" ca="1" si="3">MATCH(IF(C10=D10,10,C10),INDIRECT(B10&amp;"!A1:A32"),0)</f>
        <v>#REF!</v>
      </c>
      <c r="F10" s="6" t="e">
        <f t="array" aca="1" ref="F10" ca="1">OFFSET(INDIRECT($B10&amp;"!A1"),$E10-1,2)</f>
        <v>#REF!</v>
      </c>
      <c r="G10" s="6" t="e">
        <f t="shared" ca="1" si="2"/>
        <v>#REF!</v>
      </c>
      <c r="H10" s="6" t="e">
        <f t="array" aca="1" ref="H10" ca="1">OFFSET(INDIRECT($B10&amp;"!A1"),$E10-3,7)</f>
        <v>#REF!</v>
      </c>
      <c r="I10" s="6" t="e">
        <f t="array" aca="1" ref="I10" ca="1">OFFSET(INDIRECT($B10&amp;"!A1"),$E10-2,7)</f>
        <v>#REF!</v>
      </c>
      <c r="J10" s="6" t="e">
        <f t="array" aca="1" ref="J10" ca="1">OFFSET(INDIRECT($B10&amp;"!A1"),$E10-1,7)</f>
        <v>#REF!</v>
      </c>
    </row>
    <row r="11" spans="1:10" x14ac:dyDescent="0.15">
      <c r="A11" s="2">
        <v>9</v>
      </c>
      <c r="B11" s="2">
        <f>IF(経路検索!$A11&lt;=経路検索1!$C$1,"経路検索1",IF($A11-(経路検索1!$C$1)&lt;=経路検索2!$C$1,"経路検索2",IF($A11-(経路検索1!$C$1)-(経路検索2!$C$1)&lt;=経路検索3!$C$1,"経路検索3",0)))</f>
        <v>0</v>
      </c>
      <c r="C11" s="2">
        <f>COUNTIF($B$3:B11,B11)</f>
        <v>9</v>
      </c>
      <c r="D11" s="2">
        <f t="shared" si="0"/>
        <v>20</v>
      </c>
      <c r="E11" s="2" t="e">
        <f t="shared" ca="1" si="3"/>
        <v>#REF!</v>
      </c>
      <c r="F11" s="6" t="e">
        <f t="array" aca="1" ref="F11" ca="1">OFFSET(INDIRECT($B11&amp;"!A1"),$E11-1,2)</f>
        <v>#REF!</v>
      </c>
      <c r="G11" s="6" t="e">
        <f t="shared" ca="1" si="2"/>
        <v>#REF!</v>
      </c>
      <c r="H11" s="6" t="e">
        <f t="array" aca="1" ref="H11" ca="1">OFFSET(INDIRECT($B11&amp;"!A1"),$E11-3,7)</f>
        <v>#REF!</v>
      </c>
      <c r="I11" s="6" t="e">
        <f t="array" aca="1" ref="I11" ca="1">OFFSET(INDIRECT($B11&amp;"!A1"),$E11-2,7)</f>
        <v>#REF!</v>
      </c>
      <c r="J11" s="6" t="e">
        <f t="array" aca="1" ref="J11" ca="1">OFFSET(INDIRECT($B11&amp;"!A1"),$E11-1,7)</f>
        <v>#REF!</v>
      </c>
    </row>
    <row r="12" spans="1:10" x14ac:dyDescent="0.15">
      <c r="A12" s="2">
        <v>10</v>
      </c>
      <c r="B12" s="2">
        <f>IF(経路検索!$A12&lt;=経路検索1!$C$1,"経路検索1",IF($A12-(経路検索1!$C$1)&lt;=経路検索2!$C$1,"経路検索2",IF($A12-(経路検索1!$C$1)-(経路検索2!$C$1)&lt;=経路検索3!$C$1,"経路検索3",0)))</f>
        <v>0</v>
      </c>
      <c r="C12" s="2">
        <f>COUNTIF($B$3:B12,B12)</f>
        <v>10</v>
      </c>
      <c r="D12" s="2">
        <f t="shared" si="0"/>
        <v>20</v>
      </c>
      <c r="E12" s="2" t="e">
        <f t="shared" ca="1" si="3"/>
        <v>#REF!</v>
      </c>
      <c r="F12" s="6" t="e">
        <f t="array" aca="1" ref="F12" ca="1">OFFSET(INDIRECT($B12&amp;"!A1"),$E12-1,2)</f>
        <v>#REF!</v>
      </c>
      <c r="G12" s="6" t="e">
        <f t="shared" ca="1" si="2"/>
        <v>#REF!</v>
      </c>
      <c r="H12" s="6" t="e">
        <f t="array" aca="1" ref="H12" ca="1">OFFSET(INDIRECT($B12&amp;"!A1"),$E12-3,7)</f>
        <v>#REF!</v>
      </c>
      <c r="I12" s="6" t="e">
        <f t="array" aca="1" ref="I12" ca="1">OFFSET(INDIRECT($B12&amp;"!A1"),$E12-2,7)</f>
        <v>#REF!</v>
      </c>
      <c r="J12" s="6" t="e">
        <f t="array" aca="1" ref="J12" ca="1">OFFSET(INDIRECT($B12&amp;"!A1"),$E12-1,7)</f>
        <v>#REF!</v>
      </c>
    </row>
    <row r="13" spans="1:10" x14ac:dyDescent="0.15">
      <c r="A13" s="2">
        <v>11</v>
      </c>
      <c r="B13" s="2">
        <f>IF(経路検索!$A13&lt;=経路検索1!$C$1,"経路検索1",IF($A13-(経路検索1!$C$1)&lt;=経路検索2!$C$1,"経路検索2",IF($A13-(経路検索1!$C$1)-(経路検索2!$C$1)&lt;=経路検索3!$C$1,"経路検索3",0)))</f>
        <v>0</v>
      </c>
      <c r="C13" s="2">
        <f>COUNTIF($B$3:B13,B13)</f>
        <v>11</v>
      </c>
      <c r="D13" s="2">
        <f t="shared" si="0"/>
        <v>20</v>
      </c>
      <c r="E13" s="2" t="e">
        <f t="shared" ca="1" si="3"/>
        <v>#REF!</v>
      </c>
      <c r="F13" s="6" t="e">
        <f t="array" aca="1" ref="F13" ca="1">OFFSET(INDIRECT($B13&amp;"!A1"),$E13-1,2)</f>
        <v>#REF!</v>
      </c>
      <c r="G13" s="6" t="e">
        <f ca="1">F13&amp;"-"&amp;F14</f>
        <v>#REF!</v>
      </c>
      <c r="H13" s="6" t="e">
        <f t="array" aca="1" ref="H13" ca="1">OFFSET(INDIRECT($B13&amp;"!A1"),$E13-3,7)</f>
        <v>#REF!</v>
      </c>
      <c r="I13" s="6" t="e">
        <f t="array" aca="1" ref="I13" ca="1">OFFSET(INDIRECT($B13&amp;"!A1"),$E13-2,7)</f>
        <v>#REF!</v>
      </c>
      <c r="J13" s="6" t="e">
        <f t="array" aca="1" ref="J13" ca="1">OFFSET(INDIRECT($B13&amp;"!A1"),$E13-1,7)</f>
        <v>#REF!</v>
      </c>
    </row>
    <row r="14" spans="1:10" x14ac:dyDescent="0.15">
      <c r="A14" s="2">
        <v>12</v>
      </c>
      <c r="B14" s="2">
        <f>IF(経路検索!$A14&lt;=経路検索1!$C$1,"経路検索1",IF($A14-(経路検索1!$C$1)&lt;=経路検索2!$C$1,"経路検索2",IF($A14-(経路検索1!$C$1)-(経路検索2!$C$1)&lt;=経路検索3!$C$1,"経路検索3",0)))</f>
        <v>0</v>
      </c>
      <c r="C14" s="2">
        <f>COUNTIF($B$3:B14,B14)</f>
        <v>12</v>
      </c>
      <c r="D14" s="2">
        <f t="shared" si="0"/>
        <v>20</v>
      </c>
      <c r="E14" s="2" t="e">
        <f t="shared" ca="1" si="3"/>
        <v>#REF!</v>
      </c>
      <c r="F14" s="6" t="e">
        <f t="array" aca="1" ref="F14" ca="1">OFFSET(INDIRECT($B14&amp;"!A1"),$E14-1,2)</f>
        <v>#REF!</v>
      </c>
      <c r="G14" s="6" t="e">
        <f t="shared" ca="1" si="2"/>
        <v>#REF!</v>
      </c>
      <c r="H14" s="6" t="e">
        <f t="array" aca="1" ref="H14" ca="1">OFFSET(INDIRECT($B14&amp;"!A1"),$E14-3,7)</f>
        <v>#REF!</v>
      </c>
      <c r="I14" s="6" t="e">
        <f t="array" aca="1" ref="I14" ca="1">OFFSET(INDIRECT($B14&amp;"!A1"),$E14-2,7)</f>
        <v>#REF!</v>
      </c>
      <c r="J14" s="6" t="e">
        <f t="array" aca="1" ref="J14" ca="1">OFFSET(INDIRECT($B14&amp;"!A1"),$E14-1,7)</f>
        <v>#REF!</v>
      </c>
    </row>
    <row r="15" spans="1:10" x14ac:dyDescent="0.15">
      <c r="A15" s="2">
        <v>13</v>
      </c>
      <c r="B15" s="2">
        <f>IF(経路検索!$A15&lt;=経路検索1!$C$1,"経路検索1",IF($A15-(経路検索1!$C$1)&lt;=経路検索2!$C$1,"経路検索2",IF($A15-(経路検索1!$C$1)-(経路検索2!$C$1)&lt;=経路検索3!$C$1,"経路検索3",0)))</f>
        <v>0</v>
      </c>
      <c r="C15" s="2">
        <f>COUNTIF($B$3:B15,B15)</f>
        <v>13</v>
      </c>
      <c r="D15" s="2">
        <f t="shared" si="0"/>
        <v>20</v>
      </c>
      <c r="E15" s="2" t="e">
        <f t="shared" ca="1" si="3"/>
        <v>#REF!</v>
      </c>
      <c r="F15" s="6" t="e">
        <f t="array" aca="1" ref="F15" ca="1">OFFSET(INDIRECT($B15&amp;"!A1"),$E15-1,2)</f>
        <v>#REF!</v>
      </c>
      <c r="G15" s="6" t="e">
        <f t="shared" ca="1" si="2"/>
        <v>#REF!</v>
      </c>
      <c r="H15" s="6" t="e">
        <f t="array" aca="1" ref="H15" ca="1">OFFSET(INDIRECT($B15&amp;"!A1"),$E15-3,7)</f>
        <v>#REF!</v>
      </c>
      <c r="I15" s="6" t="e">
        <f t="array" aca="1" ref="I15" ca="1">OFFSET(INDIRECT($B15&amp;"!A1"),$E15-2,7)</f>
        <v>#REF!</v>
      </c>
      <c r="J15" s="6" t="e">
        <f t="array" aca="1" ref="J15" ca="1">OFFSET(INDIRECT($B15&amp;"!A1"),$E15-1,7)</f>
        <v>#REF!</v>
      </c>
    </row>
    <row r="16" spans="1:10" x14ac:dyDescent="0.15">
      <c r="A16" s="2">
        <v>14</v>
      </c>
      <c r="B16" s="2">
        <f>IF(経路検索!$A16&lt;=経路検索1!$C$1,"経路検索1",IF($A16-(経路検索1!$C$1)&lt;=経路検索2!$C$1,"経路検索2",IF($A16-(経路検索1!$C$1)-(経路検索2!$C$1)&lt;=経路検索3!$C$1,"経路検索3",0)))</f>
        <v>0</v>
      </c>
      <c r="C16" s="2">
        <f>COUNTIF($B$3:B16,B16)</f>
        <v>14</v>
      </c>
      <c r="D16" s="2">
        <f t="shared" si="0"/>
        <v>20</v>
      </c>
      <c r="E16" s="2" t="e">
        <f t="shared" ca="1" si="3"/>
        <v>#REF!</v>
      </c>
      <c r="F16" s="6" t="e">
        <f t="array" aca="1" ref="F16" ca="1">OFFSET(INDIRECT($B16&amp;"!A1"),$E16-1,2)</f>
        <v>#REF!</v>
      </c>
      <c r="G16" s="6" t="e">
        <f t="shared" ca="1" si="2"/>
        <v>#REF!</v>
      </c>
      <c r="H16" s="6" t="e">
        <f t="array" aca="1" ref="H16" ca="1">OFFSET(INDIRECT($B16&amp;"!A1"),$E16-3,7)</f>
        <v>#REF!</v>
      </c>
      <c r="I16" s="6" t="e">
        <f t="array" aca="1" ref="I16" ca="1">OFFSET(INDIRECT($B16&amp;"!A1"),$E16-2,7)</f>
        <v>#REF!</v>
      </c>
      <c r="J16" s="6" t="e">
        <f t="array" aca="1" ref="J16" ca="1">OFFSET(INDIRECT($B16&amp;"!A1"),$E16-1,7)</f>
        <v>#REF!</v>
      </c>
    </row>
    <row r="17" spans="1:10" x14ac:dyDescent="0.15">
      <c r="A17" s="2">
        <v>15</v>
      </c>
      <c r="B17" s="2">
        <f>IF(経路検索!$A17&lt;=経路検索1!$C$1,"経路検索1",IF($A17-(経路検索1!$C$1)&lt;=経路検索2!$C$1,"経路検索2",IF($A17-(経路検索1!$C$1)-(経路検索2!$C$1)&lt;=経路検索3!$C$1,"経路検索3",0)))</f>
        <v>0</v>
      </c>
      <c r="C17" s="2">
        <f>COUNTIF($B$3:B17,B17)</f>
        <v>15</v>
      </c>
      <c r="D17" s="2">
        <f t="shared" si="0"/>
        <v>20</v>
      </c>
      <c r="E17" s="2" t="e">
        <f t="shared" ca="1" si="3"/>
        <v>#REF!</v>
      </c>
      <c r="F17" s="6" t="e">
        <f t="array" aca="1" ref="F17" ca="1">OFFSET(INDIRECT($B17&amp;"!A1"),$E17-1,2)</f>
        <v>#REF!</v>
      </c>
      <c r="G17" s="6" t="e">
        <f t="shared" ca="1" si="2"/>
        <v>#REF!</v>
      </c>
      <c r="H17" s="6" t="e">
        <f t="array" aca="1" ref="H17" ca="1">OFFSET(INDIRECT($B17&amp;"!A1"),$E17-3,7)</f>
        <v>#REF!</v>
      </c>
      <c r="I17" s="6" t="e">
        <f t="array" aca="1" ref="I17" ca="1">OFFSET(INDIRECT($B17&amp;"!A1"),$E17-2,7)</f>
        <v>#REF!</v>
      </c>
      <c r="J17" s="6" t="e">
        <f t="array" aca="1" ref="J17" ca="1">OFFSET(INDIRECT($B17&amp;"!A1"),$E17-1,7)</f>
        <v>#REF!</v>
      </c>
    </row>
    <row r="18" spans="1:10" x14ac:dyDescent="0.15">
      <c r="A18" s="2">
        <v>16</v>
      </c>
      <c r="B18" s="2">
        <f>IF(経路検索!$A18&lt;=経路検索1!$C$1,"経路検索1",IF($A18-(経路検索1!$C$1)&lt;=経路検索2!$C$1,"経路検索2",IF($A18-(経路検索1!$C$1)-(経路検索2!$C$1)&lt;=経路検索3!$C$1,"経路検索3",0)))</f>
        <v>0</v>
      </c>
      <c r="C18" s="2">
        <f>COUNTIF($B$3:B18,B18)</f>
        <v>16</v>
      </c>
      <c r="D18" s="2">
        <f t="shared" si="0"/>
        <v>20</v>
      </c>
      <c r="E18" s="2" t="e">
        <f t="shared" ca="1" si="3"/>
        <v>#REF!</v>
      </c>
      <c r="F18" s="6" t="e">
        <f t="array" aca="1" ref="F18" ca="1">OFFSET(INDIRECT($B18&amp;"!A1"),$E18-1,2)</f>
        <v>#REF!</v>
      </c>
      <c r="G18" s="6" t="e">
        <f t="shared" ca="1" si="2"/>
        <v>#REF!</v>
      </c>
      <c r="H18" s="6" t="e">
        <f t="array" aca="1" ref="H18" ca="1">OFFSET(INDIRECT($B18&amp;"!A1"),$E18-3,7)</f>
        <v>#REF!</v>
      </c>
      <c r="I18" s="6" t="e">
        <f t="array" aca="1" ref="I18" ca="1">OFFSET(INDIRECT($B18&amp;"!A1"),$E18-2,7)</f>
        <v>#REF!</v>
      </c>
      <c r="J18" s="6" t="e">
        <f t="array" aca="1" ref="J18" ca="1">OFFSET(INDIRECT($B18&amp;"!A1"),$E18-1,7)</f>
        <v>#REF!</v>
      </c>
    </row>
    <row r="19" spans="1:10" x14ac:dyDescent="0.15">
      <c r="A19" s="2">
        <v>17</v>
      </c>
      <c r="B19" s="2">
        <f>IF(経路検索!$A19&lt;=経路検索1!$C$1,"経路検索1",IF($A19-(経路検索1!$C$1)&lt;=経路検索2!$C$1,"経路検索2",IF($A19-(経路検索1!$C$1)-(経路検索2!$C$1)&lt;=経路検索3!$C$1,"経路検索3",0)))</f>
        <v>0</v>
      </c>
      <c r="C19" s="2">
        <f>COUNTIF($B$3:B19,B19)</f>
        <v>17</v>
      </c>
      <c r="D19" s="2">
        <f t="shared" si="0"/>
        <v>20</v>
      </c>
      <c r="E19" s="2" t="e">
        <f t="shared" ca="1" si="3"/>
        <v>#REF!</v>
      </c>
      <c r="F19" s="6" t="e">
        <f t="array" aca="1" ref="F19" ca="1">OFFSET(INDIRECT($B19&amp;"!A1"),$E19-1,2)</f>
        <v>#REF!</v>
      </c>
      <c r="G19" s="6" t="e">
        <f t="shared" ca="1" si="2"/>
        <v>#REF!</v>
      </c>
      <c r="H19" s="6" t="e">
        <f t="array" aca="1" ref="H19" ca="1">OFFSET(INDIRECT($B19&amp;"!A1"),$E19-3,7)</f>
        <v>#REF!</v>
      </c>
      <c r="I19" s="6" t="e">
        <f t="array" aca="1" ref="I19" ca="1">OFFSET(INDIRECT($B19&amp;"!A1"),$E19-2,7)</f>
        <v>#REF!</v>
      </c>
      <c r="J19" s="6" t="e">
        <f t="array" aca="1" ref="J19" ca="1">OFFSET(INDIRECT($B19&amp;"!A1"),$E19-1,7)</f>
        <v>#REF!</v>
      </c>
    </row>
    <row r="20" spans="1:10" x14ac:dyDescent="0.15">
      <c r="A20" s="2">
        <v>18</v>
      </c>
      <c r="B20" s="2">
        <f>IF(経路検索!$A20&lt;=経路検索1!$C$1,"経路検索1",IF($A20-(経路検索1!$C$1)&lt;=経路検索2!$C$1,"経路検索2",IF($A20-(経路検索1!$C$1)-(経路検索2!$C$1)&lt;=経路検索3!$C$1,"経路検索3",0)))</f>
        <v>0</v>
      </c>
      <c r="C20" s="2">
        <f>COUNTIF($B$3:B20,B20)</f>
        <v>18</v>
      </c>
      <c r="D20" s="2">
        <f t="shared" si="0"/>
        <v>20</v>
      </c>
      <c r="E20" s="2" t="e">
        <f t="shared" ca="1" si="3"/>
        <v>#REF!</v>
      </c>
      <c r="F20" s="6" t="e">
        <f t="array" aca="1" ref="F20" ca="1">OFFSET(INDIRECT($B20&amp;"!A1"),$E20-1,2)</f>
        <v>#REF!</v>
      </c>
      <c r="G20" s="6" t="e">
        <f t="shared" ca="1" si="2"/>
        <v>#REF!</v>
      </c>
      <c r="H20" s="6" t="e">
        <f t="array" aca="1" ref="H20" ca="1">OFFSET(INDIRECT($B20&amp;"!A1"),$E20-3,7)</f>
        <v>#REF!</v>
      </c>
      <c r="I20" s="6" t="e">
        <f t="array" aca="1" ref="I20" ca="1">OFFSET(INDIRECT($B20&amp;"!A1"),$E20-2,7)</f>
        <v>#REF!</v>
      </c>
      <c r="J20" s="6" t="e">
        <f t="array" aca="1" ref="J20" ca="1">OFFSET(INDIRECT($B20&amp;"!A1"),$E20-1,7)</f>
        <v>#REF!</v>
      </c>
    </row>
    <row r="21" spans="1:10" x14ac:dyDescent="0.15">
      <c r="A21" s="2">
        <v>19</v>
      </c>
      <c r="B21" s="2">
        <f>IF(経路検索!$A21&lt;=経路検索1!$C$1,"経路検索1",IF($A21-(経路検索1!$C$1)&lt;=経路検索2!$C$1,"経路検索2",IF($A21-(経路検索1!$C$1)-(経路検索2!$C$1)&lt;=経路検索3!$C$1,"経路検索3",0)))</f>
        <v>0</v>
      </c>
      <c r="C21" s="2">
        <f>COUNTIF($B$3:B21,B21)</f>
        <v>19</v>
      </c>
      <c r="D21" s="2">
        <f t="shared" ref="D21:D22" si="4">COUNTIF($B$3:$B$30,B21)</f>
        <v>20</v>
      </c>
      <c r="E21" s="2" t="e">
        <f t="shared" ref="E21:E22" ca="1" si="5">MATCH(IF(C21=D21,10,C21),INDIRECT(B21&amp;"!A1:A32"),0)</f>
        <v>#REF!</v>
      </c>
      <c r="F21" s="6" t="e">
        <f t="array" aca="1" ref="F21" ca="1">OFFSET(INDIRECT($B21&amp;"!A1"),$E21-1,2)</f>
        <v>#REF!</v>
      </c>
      <c r="G21" s="6" t="e">
        <f t="shared" ca="1" si="2"/>
        <v>#REF!</v>
      </c>
      <c r="H21" s="6" t="e">
        <f t="array" aca="1" ref="H21" ca="1">OFFSET(INDIRECT($B21&amp;"!A1"),$E21-3,7)</f>
        <v>#REF!</v>
      </c>
      <c r="I21" s="6" t="e">
        <f t="array" aca="1" ref="I21" ca="1">OFFSET(INDIRECT($B21&amp;"!A1"),$E21-2,7)</f>
        <v>#REF!</v>
      </c>
      <c r="J21" s="6" t="e">
        <f t="array" aca="1" ref="J21" ca="1">OFFSET(INDIRECT($B21&amp;"!A1"),$E21-1,7)</f>
        <v>#REF!</v>
      </c>
    </row>
    <row r="22" spans="1:10" x14ac:dyDescent="0.15">
      <c r="A22" s="2">
        <v>20</v>
      </c>
      <c r="B22" s="2">
        <f>IF(経路検索!$A22&lt;=経路検索1!$C$1,"経路検索1",IF($A22-(経路検索1!$C$1)&lt;=経路検索2!$C$1,"経路検索2",IF($A22-(経路検索1!$C$1)-(経路検索2!$C$1)&lt;=経路検索3!$C$1,"経路検索3",0)))</f>
        <v>0</v>
      </c>
      <c r="C22" s="2">
        <f>COUNTIF($B$3:B22,B22)</f>
        <v>20</v>
      </c>
      <c r="D22" s="2">
        <f t="shared" si="4"/>
        <v>20</v>
      </c>
      <c r="E22" s="2" t="e">
        <f t="shared" ca="1" si="5"/>
        <v>#REF!</v>
      </c>
      <c r="F22" s="6" t="e">
        <f t="array" aca="1" ref="F22" ca="1">OFFSET(INDIRECT($B22&amp;"!A1"),$E22-1,2)</f>
        <v>#REF!</v>
      </c>
      <c r="G22" s="6" t="e">
        <f t="shared" ca="1" si="2"/>
        <v>#REF!</v>
      </c>
      <c r="H22" s="6" t="e">
        <f t="array" aca="1" ref="H22" ca="1">OFFSET(INDIRECT($B22&amp;"!A1"),$E22-3,7)</f>
        <v>#REF!</v>
      </c>
      <c r="I22" s="6" t="e">
        <f t="array" aca="1" ref="I22" ca="1">OFFSET(INDIRECT($B22&amp;"!A1"),$E22-2,7)</f>
        <v>#REF!</v>
      </c>
      <c r="J22" s="6" t="e">
        <f t="array" aca="1" ref="J22" ca="1">OFFSET(INDIRECT($B22&amp;"!A1"),$E22-1,7)</f>
        <v>#REF!</v>
      </c>
    </row>
    <row r="23" spans="1:10" x14ac:dyDescent="0.15">
      <c r="F23" s="6"/>
      <c r="G23" s="6"/>
      <c r="H23" s="6"/>
      <c r="I23" s="6"/>
      <c r="J23" s="6"/>
    </row>
    <row r="24" spans="1:10" x14ac:dyDescent="0.15">
      <c r="F24" s="6"/>
      <c r="G24" s="6"/>
      <c r="H24" s="6"/>
      <c r="I24" s="6"/>
      <c r="J24" s="6"/>
    </row>
    <row r="25" spans="1:10" x14ac:dyDescent="0.15">
      <c r="F25" s="6"/>
      <c r="G25" s="6"/>
      <c r="H25" s="6"/>
      <c r="I25" s="6"/>
      <c r="J25" s="6"/>
    </row>
    <row r="26" spans="1:10" x14ac:dyDescent="0.15">
      <c r="F26" s="6"/>
      <c r="G26" s="6"/>
      <c r="H26" s="6"/>
      <c r="I26" s="6"/>
      <c r="J26" s="6"/>
    </row>
    <row r="27" spans="1:10" x14ac:dyDescent="0.15">
      <c r="F27" s="6"/>
      <c r="G27" s="6"/>
      <c r="H27" s="6"/>
      <c r="I27" s="6"/>
      <c r="J27" s="6"/>
    </row>
    <row r="28" spans="1:10" x14ac:dyDescent="0.15">
      <c r="F28" s="6"/>
      <c r="G28" s="6"/>
      <c r="H28" s="6"/>
      <c r="I28" s="6"/>
      <c r="J28" s="6"/>
    </row>
    <row r="29" spans="1:10" x14ac:dyDescent="0.15">
      <c r="F29" s="6"/>
      <c r="G29" s="6"/>
      <c r="H29" s="6"/>
      <c r="I29" s="6"/>
      <c r="J29" s="6"/>
    </row>
    <row r="30" spans="1:10" x14ac:dyDescent="0.15">
      <c r="F30" s="6"/>
      <c r="G30" s="6"/>
      <c r="H30" s="6"/>
      <c r="I30" s="6"/>
      <c r="J30" s="6"/>
    </row>
    <row r="31" spans="1:10" x14ac:dyDescent="0.15">
      <c r="F31" s="6"/>
      <c r="G31" s="6"/>
      <c r="H31" s="6"/>
      <c r="I31" s="6"/>
      <c r="J31" s="6"/>
    </row>
    <row r="32" spans="1:10" x14ac:dyDescent="0.15">
      <c r="F32" s="6"/>
      <c r="G32" s="6"/>
      <c r="H32" s="6"/>
      <c r="I32" s="6"/>
      <c r="J32" s="6"/>
    </row>
  </sheetData>
  <phoneticPr fontId="8"/>
  <pageMargins left="0.7" right="0.7" top="0.75" bottom="0.75" header="0.3" footer="0.3"/>
  <pageSetup paperSize="9" scale="95"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theme="0" tint="-0.499984740745262"/>
  </sheetPr>
  <dimension ref="A1:H32"/>
  <sheetViews>
    <sheetView topLeftCell="A4" zoomScale="85" zoomScaleNormal="85" workbookViewId="0">
      <selection activeCell="I4" sqref="I4"/>
    </sheetView>
  </sheetViews>
  <sheetFormatPr defaultColWidth="10" defaultRowHeight="13.5" x14ac:dyDescent="0.15"/>
  <cols>
    <col min="1" max="1" width="4" style="2" customWidth="1"/>
    <col min="2" max="2" width="24.5" style="2" customWidth="1"/>
    <col min="3" max="3" width="35" style="2" customWidth="1"/>
    <col min="4" max="4" width="14.5" style="2" customWidth="1"/>
    <col min="5" max="5" width="10.125" style="2" customWidth="1"/>
    <col min="6" max="6" width="64.5" style="2" customWidth="1"/>
    <col min="7" max="7" width="5.75" style="2" customWidth="1"/>
    <col min="8" max="8" width="53.375" style="2" customWidth="1"/>
    <col min="9" max="16384" width="10" style="2"/>
  </cols>
  <sheetData>
    <row r="1" spans="1:8" x14ac:dyDescent="0.15">
      <c r="B1" s="2" t="s">
        <v>38</v>
      </c>
      <c r="C1" s="2">
        <f>10-COUNTIF($C$3:$C$32,"#VALUE!")/3</f>
        <v>0</v>
      </c>
    </row>
    <row r="3" spans="1:8" x14ac:dyDescent="0.15">
      <c r="B3" s="2" t="s">
        <v>39</v>
      </c>
      <c r="C3" s="2" t="e">
        <f>FIND("■",乗換案内検索結果入力シート!$B$4,1)</f>
        <v>#VALUE!</v>
      </c>
      <c r="D3" s="2" t="s">
        <v>40</v>
      </c>
      <c r="E3" s="2" t="e">
        <f>FIND("｜",乗換案内検索結果入力シート!$B$4,FIND("■"&amp;C5,乗換案内検索結果入力シート!$B$4))</f>
        <v>#VALUE!</v>
      </c>
      <c r="F3" s="2" t="e">
        <f>MID(乗換案内検索結果入力シート!$B$4,E3+3,E4-E3-4)</f>
        <v>#VALUE!</v>
      </c>
      <c r="G3" s="2" t="s">
        <v>41</v>
      </c>
      <c r="H3" s="2" t="e">
        <f>LEFT(F3,FIND(" ",F3)-1)</f>
        <v>#VALUE!</v>
      </c>
    </row>
    <row r="4" spans="1:8" x14ac:dyDescent="0.15">
      <c r="B4" s="2" t="s">
        <v>42</v>
      </c>
      <c r="C4" s="2" t="e">
        <f>FIND(" ",乗換案内検索結果入力シート!$B$4,C3)</f>
        <v>#VALUE!</v>
      </c>
      <c r="D4" s="2" t="s">
        <v>43</v>
      </c>
      <c r="E4" s="2" t="e">
        <f>FIND("｜",乗換案内検索結果入力シート!$B$4,E3+1)</f>
        <v>#VALUE!</v>
      </c>
      <c r="F4" s="2" t="e">
        <f>MID(乗換案内検索結果入力シート!$B$4,E4+3,E5-E4-4)</f>
        <v>#VALUE!</v>
      </c>
      <c r="G4" s="2" t="s">
        <v>28</v>
      </c>
      <c r="H4" s="2" t="e">
        <f>MID(F3,LEN(H3)+4,FIND("km",F3,LEN(H3))-LEN(H3)-4)</f>
        <v>#VALUE!</v>
      </c>
    </row>
    <row r="5" spans="1:8" x14ac:dyDescent="0.15">
      <c r="A5" s="2">
        <v>1</v>
      </c>
      <c r="B5" s="3" t="s">
        <v>44</v>
      </c>
      <c r="C5" s="4" t="e">
        <f>MID(乗換案内検索結果入力シート!$B$4,C3+1,C4-C3-1)</f>
        <v>#VALUE!</v>
      </c>
      <c r="D5" s="2" t="s">
        <v>45</v>
      </c>
      <c r="E5" s="2" t="e">
        <f>FIND("｜",乗換案内検索結果入力シート!$B$4,E4+1)</f>
        <v>#VALUE!</v>
      </c>
      <c r="G5" s="2" t="s">
        <v>46</v>
      </c>
      <c r="H5" s="2" t="e">
        <f>MID(F4,FIND("［",F4)+1,FIND("］",F4)-FIND("［",F4)-2)</f>
        <v>#VALUE!</v>
      </c>
    </row>
    <row r="6" spans="1:8" x14ac:dyDescent="0.15">
      <c r="B6" s="2" t="s">
        <v>47</v>
      </c>
      <c r="C6" s="2" t="e">
        <f>FIND("◇",乗換案内検索結果入力シート!$B$4,C4)</f>
        <v>#VALUE!</v>
      </c>
      <c r="D6" s="2" t="s">
        <v>48</v>
      </c>
      <c r="E6" s="2" t="e">
        <f>FIND("｜",乗換案内検索結果入力シート!$B$4,FIND("◇"&amp;C8,乗換案内検索結果入力シート!$B$4))</f>
        <v>#VALUE!</v>
      </c>
      <c r="F6" s="2" t="e">
        <f>MID(乗換案内検索結果入力シート!$B$4,E6+3,E7-E6-4)</f>
        <v>#VALUE!</v>
      </c>
      <c r="G6" s="2" t="s">
        <v>41</v>
      </c>
      <c r="H6" s="2" t="e">
        <f>LEFT(F6,FIND(" ",F6)-1)</f>
        <v>#VALUE!</v>
      </c>
    </row>
    <row r="7" spans="1:8" x14ac:dyDescent="0.15">
      <c r="B7" s="2" t="s">
        <v>49</v>
      </c>
      <c r="C7" s="2" t="e">
        <f>FIND(" ",乗換案内検索結果入力シート!$B$4,C6)</f>
        <v>#VALUE!</v>
      </c>
      <c r="D7" s="2" t="s">
        <v>50</v>
      </c>
      <c r="E7" s="2" t="e">
        <f>FIND("｜",乗換案内検索結果入力シート!$B$4,E6+1)</f>
        <v>#VALUE!</v>
      </c>
      <c r="F7" s="2" t="e">
        <f>MID(乗換案内検索結果入力シート!$B$4,E7+3,E8-E7-4)</f>
        <v>#VALUE!</v>
      </c>
      <c r="G7" s="2" t="s">
        <v>28</v>
      </c>
      <c r="H7" s="2" t="e">
        <f>MID(F6,LEN(H6)+4,FIND("km",F6,LEN(H6))-LEN(H6)-4)</f>
        <v>#VALUE!</v>
      </c>
    </row>
    <row r="8" spans="1:8" x14ac:dyDescent="0.15">
      <c r="A8" s="2">
        <v>2</v>
      </c>
      <c r="B8" s="5" t="s">
        <v>51</v>
      </c>
      <c r="C8" s="5" t="e">
        <f>MID(乗換案内検索結果入力シート!$B$4,C6+1,C7-C6-1)</f>
        <v>#VALUE!</v>
      </c>
      <c r="D8" s="2" t="s">
        <v>52</v>
      </c>
      <c r="E8" s="2" t="e">
        <f>FIND("｜",乗換案内検索結果入力シート!$B$4,E7+1)</f>
        <v>#VALUE!</v>
      </c>
      <c r="G8" s="2" t="s">
        <v>46</v>
      </c>
      <c r="H8" s="2" t="e">
        <f>MID(F7,FIND("［",F7)+1,FIND("］",F7)-FIND("［",F7)-2)</f>
        <v>#VALUE!</v>
      </c>
    </row>
    <row r="9" spans="1:8" x14ac:dyDescent="0.15">
      <c r="B9" s="2" t="s">
        <v>53</v>
      </c>
      <c r="C9" s="2" t="e">
        <f>FIND("◇",乗換案内検索結果入力シート!$B$4,C7)</f>
        <v>#VALUE!</v>
      </c>
      <c r="D9" s="2" t="s">
        <v>54</v>
      </c>
      <c r="E9" s="2" t="e">
        <f>FIND("｜",乗換案内検索結果入力シート!$B$4,FIND("◇"&amp;C11,乗換案内検索結果入力シート!$B$4))</f>
        <v>#VALUE!</v>
      </c>
      <c r="F9" s="2" t="e">
        <f>MID(乗換案内検索結果入力シート!$B$4,E9+3,E10-E9-4)</f>
        <v>#VALUE!</v>
      </c>
      <c r="G9" s="2" t="s">
        <v>41</v>
      </c>
      <c r="H9" s="2" t="e">
        <f t="shared" ref="H9" si="0">LEFT(F9,FIND(" ",F9)-1)</f>
        <v>#VALUE!</v>
      </c>
    </row>
    <row r="10" spans="1:8" x14ac:dyDescent="0.15">
      <c r="B10" s="2" t="s">
        <v>55</v>
      </c>
      <c r="C10" s="2" t="e">
        <f>FIND(" ",乗換案内検索結果入力シート!$B$4,C9)</f>
        <v>#VALUE!</v>
      </c>
      <c r="D10" s="2" t="s">
        <v>56</v>
      </c>
      <c r="E10" s="2" t="e">
        <f>FIND("｜",乗換案内検索結果入力シート!$B$4,E9+1)</f>
        <v>#VALUE!</v>
      </c>
      <c r="F10" s="2" t="e">
        <f>MID(乗換案内検索結果入力シート!$B$4,E10+3,E11-E10-4)</f>
        <v>#VALUE!</v>
      </c>
      <c r="G10" s="2" t="s">
        <v>28</v>
      </c>
      <c r="H10" s="2" t="e">
        <f t="shared" ref="H10" si="1">MID(F9,LEN(H9)+4,FIND("km",F9,LEN(H9))-LEN(H9)-4)</f>
        <v>#VALUE!</v>
      </c>
    </row>
    <row r="11" spans="1:8" x14ac:dyDescent="0.15">
      <c r="A11" s="2">
        <v>3</v>
      </c>
      <c r="B11" s="5" t="s">
        <v>57</v>
      </c>
      <c r="C11" s="5" t="e">
        <f>MID(乗換案内検索結果入力シート!$B$4,C9+1,C10-C9-1)</f>
        <v>#VALUE!</v>
      </c>
      <c r="D11" s="2" t="s">
        <v>58</v>
      </c>
      <c r="E11" s="2" t="e">
        <f>FIND("｜",乗換案内検索結果入力シート!$B$4,E10+1)</f>
        <v>#VALUE!</v>
      </c>
      <c r="G11" s="2" t="s">
        <v>46</v>
      </c>
      <c r="H11" s="2" t="e">
        <f t="shared" ref="H11" si="2">MID(F10,FIND("［",F10)+1,FIND("］",F10)-FIND("［",F10)-2)</f>
        <v>#VALUE!</v>
      </c>
    </row>
    <row r="12" spans="1:8" x14ac:dyDescent="0.15">
      <c r="B12" s="2" t="s">
        <v>59</v>
      </c>
      <c r="C12" s="2" t="e">
        <f>FIND("◇",乗換案内検索結果入力シート!$B$4,C10)</f>
        <v>#VALUE!</v>
      </c>
      <c r="D12" s="2" t="s">
        <v>60</v>
      </c>
      <c r="E12" s="2" t="e">
        <f>FIND("｜",乗換案内検索結果入力シート!$B$4,FIND("◇"&amp;C14,乗換案内検索結果入力シート!$B$4))</f>
        <v>#VALUE!</v>
      </c>
      <c r="F12" s="2" t="e">
        <f>MID(乗換案内検索結果入力シート!$B$4,E12+3,E13-E12-4)</f>
        <v>#VALUE!</v>
      </c>
      <c r="G12" s="2" t="s">
        <v>41</v>
      </c>
      <c r="H12" s="2" t="e">
        <f t="shared" ref="H12" si="3">LEFT(F12,FIND(" ",F12)-1)</f>
        <v>#VALUE!</v>
      </c>
    </row>
    <row r="13" spans="1:8" x14ac:dyDescent="0.15">
      <c r="B13" s="2" t="s">
        <v>61</v>
      </c>
      <c r="C13" s="2" t="e">
        <f>FIND(" ",乗換案内検索結果入力シート!$B$4,C12)</f>
        <v>#VALUE!</v>
      </c>
      <c r="D13" s="2" t="s">
        <v>62</v>
      </c>
      <c r="E13" s="2" t="e">
        <f>FIND("｜",乗換案内検索結果入力シート!$B$4,E12+1)</f>
        <v>#VALUE!</v>
      </c>
      <c r="F13" s="2" t="e">
        <f>MID(乗換案内検索結果入力シート!$B$4,E13+3,E14-E13-4)</f>
        <v>#VALUE!</v>
      </c>
      <c r="G13" s="2" t="s">
        <v>28</v>
      </c>
      <c r="H13" s="2" t="e">
        <f t="shared" ref="H13" si="4">MID(F12,LEN(H12)+4,FIND("km",F12,LEN(H12))-LEN(H12)-4)</f>
        <v>#VALUE!</v>
      </c>
    </row>
    <row r="14" spans="1:8" x14ac:dyDescent="0.15">
      <c r="A14" s="2">
        <v>4</v>
      </c>
      <c r="B14" s="5" t="s">
        <v>63</v>
      </c>
      <c r="C14" s="5" t="e">
        <f>MID(乗換案内検索結果入力シート!$B$4,C12+1,C13-C12-1)</f>
        <v>#VALUE!</v>
      </c>
      <c r="D14" s="2" t="s">
        <v>64</v>
      </c>
      <c r="E14" s="2" t="e">
        <f>FIND("｜",乗換案内検索結果入力シート!$B$4,E13+1)</f>
        <v>#VALUE!</v>
      </c>
      <c r="G14" s="2" t="s">
        <v>46</v>
      </c>
      <c r="H14" s="2" t="e">
        <f t="shared" ref="H14" si="5">MID(F13,FIND("［",F13)+1,FIND("］",F13)-FIND("［",F13)-2)</f>
        <v>#VALUE!</v>
      </c>
    </row>
    <row r="15" spans="1:8" x14ac:dyDescent="0.15">
      <c r="B15" s="2" t="s">
        <v>65</v>
      </c>
      <c r="C15" s="2" t="e">
        <f>FIND("◇",乗換案内検索結果入力シート!$B$4,C13)</f>
        <v>#VALUE!</v>
      </c>
      <c r="D15" s="2" t="s">
        <v>66</v>
      </c>
      <c r="E15" s="2" t="e">
        <f>FIND("｜",乗換案内検索結果入力シート!$B$4,FIND("◇"&amp;C17,乗換案内検索結果入力シート!$B$4))</f>
        <v>#VALUE!</v>
      </c>
      <c r="F15" s="2" t="e">
        <f>MID(乗換案内検索結果入力シート!$B$4,E15+3,E16-E15-4)</f>
        <v>#VALUE!</v>
      </c>
      <c r="G15" s="2" t="s">
        <v>41</v>
      </c>
      <c r="H15" s="2" t="e">
        <f>LEFT(F15,FIND(" ",F15)-1)</f>
        <v>#VALUE!</v>
      </c>
    </row>
    <row r="16" spans="1:8" x14ac:dyDescent="0.15">
      <c r="B16" s="2" t="s">
        <v>67</v>
      </c>
      <c r="C16" s="2" t="e">
        <f>FIND(" ",乗換案内検索結果入力シート!$B$4,C15)</f>
        <v>#VALUE!</v>
      </c>
      <c r="D16" s="2" t="s">
        <v>68</v>
      </c>
      <c r="E16" s="2" t="e">
        <f>FIND("｜",乗換案内検索結果入力シート!$B$4,E15+1)</f>
        <v>#VALUE!</v>
      </c>
      <c r="F16" s="2" t="e">
        <f>MID(乗換案内検索結果入力シート!$B$4,E16+3,E17-E16-4)</f>
        <v>#VALUE!</v>
      </c>
      <c r="G16" s="2" t="s">
        <v>28</v>
      </c>
      <c r="H16" s="2" t="e">
        <f t="shared" ref="H16" si="6">MID(F15,LEN(H15)+4,FIND("km",F15,LEN(H15))-LEN(H15)-4)</f>
        <v>#VALUE!</v>
      </c>
    </row>
    <row r="17" spans="1:8" x14ac:dyDescent="0.15">
      <c r="A17" s="2">
        <v>5</v>
      </c>
      <c r="B17" s="5" t="s">
        <v>69</v>
      </c>
      <c r="C17" s="5" t="e">
        <f>MID(乗換案内検索結果入力シート!$B$4,C15+1,C16-C15-1)</f>
        <v>#VALUE!</v>
      </c>
      <c r="D17" s="2" t="s">
        <v>70</v>
      </c>
      <c r="E17" s="2" t="e">
        <f>FIND("｜",乗換案内検索結果入力シート!$B$4,E16+1)</f>
        <v>#VALUE!</v>
      </c>
      <c r="G17" s="2" t="s">
        <v>46</v>
      </c>
      <c r="H17" s="2" t="e">
        <f t="shared" ref="H17" si="7">MID(F16,FIND("［",F16)+1,FIND("］",F16)-FIND("［",F16)-2)</f>
        <v>#VALUE!</v>
      </c>
    </row>
    <row r="18" spans="1:8" x14ac:dyDescent="0.15">
      <c r="B18" s="2" t="s">
        <v>71</v>
      </c>
      <c r="C18" s="2" t="e">
        <f>FIND("◇",乗換案内検索結果入力シート!$B$4,C16)</f>
        <v>#VALUE!</v>
      </c>
      <c r="D18" s="2" t="s">
        <v>72</v>
      </c>
      <c r="E18" s="2" t="e">
        <f>FIND("｜",乗換案内検索結果入力シート!$B$4,FIND("◇"&amp;C20,乗換案内検索結果入力シート!$B$4))</f>
        <v>#VALUE!</v>
      </c>
      <c r="F18" s="2" t="e">
        <f>MID(乗換案内検索結果入力シート!$B$4,E18+3,E19-E18-4)</f>
        <v>#VALUE!</v>
      </c>
      <c r="G18" s="2" t="s">
        <v>41</v>
      </c>
      <c r="H18" s="2" t="e">
        <f t="shared" ref="H18" si="8">LEFT(F18,FIND(" ",F18)-1)</f>
        <v>#VALUE!</v>
      </c>
    </row>
    <row r="19" spans="1:8" x14ac:dyDescent="0.15">
      <c r="B19" s="2" t="s">
        <v>73</v>
      </c>
      <c r="C19" s="2" t="e">
        <f>FIND(" ",乗換案内検索結果入力シート!$B$4,C18)</f>
        <v>#VALUE!</v>
      </c>
      <c r="D19" s="2" t="s">
        <v>74</v>
      </c>
      <c r="E19" s="2" t="e">
        <f>FIND("｜",乗換案内検索結果入力シート!$B$4,E18+1)</f>
        <v>#VALUE!</v>
      </c>
      <c r="F19" s="2" t="e">
        <f>MID(乗換案内検索結果入力シート!$B$4,E19+3,E20-E19-4)</f>
        <v>#VALUE!</v>
      </c>
      <c r="G19" s="2" t="s">
        <v>28</v>
      </c>
      <c r="H19" s="2" t="e">
        <f t="shared" ref="H19" si="9">MID(F18,LEN(H18)+4,FIND("km",F18,LEN(H18))-LEN(H18)-4)</f>
        <v>#VALUE!</v>
      </c>
    </row>
    <row r="20" spans="1:8" x14ac:dyDescent="0.15">
      <c r="A20" s="2">
        <v>6</v>
      </c>
      <c r="B20" s="5" t="s">
        <v>75</v>
      </c>
      <c r="C20" s="5" t="e">
        <f>MID(乗換案内検索結果入力シート!$B$4,C18+1,C19-C18-1)</f>
        <v>#VALUE!</v>
      </c>
      <c r="D20" s="2" t="s">
        <v>76</v>
      </c>
      <c r="E20" s="2" t="e">
        <f>FIND("｜",乗換案内検索結果入力シート!$B$4,E19+1)</f>
        <v>#VALUE!</v>
      </c>
      <c r="G20" s="2" t="s">
        <v>46</v>
      </c>
      <c r="H20" s="2" t="e">
        <f t="shared" ref="H20" si="10">MID(F19,FIND("［",F19)+1,FIND("］",F19)-FIND("［",F19)-2)</f>
        <v>#VALUE!</v>
      </c>
    </row>
    <row r="21" spans="1:8" x14ac:dyDescent="0.15">
      <c r="B21" s="2" t="s">
        <v>77</v>
      </c>
      <c r="C21" s="2" t="e">
        <f>FIND("◇",乗換案内検索結果入力シート!$B$4,C19)</f>
        <v>#VALUE!</v>
      </c>
      <c r="D21" s="2" t="s">
        <v>78</v>
      </c>
      <c r="E21" s="2" t="e">
        <f>FIND("｜",乗換案内検索結果入力シート!$B$4,FIND("◇"&amp;C23,乗換案内検索結果入力シート!$B$4))</f>
        <v>#VALUE!</v>
      </c>
      <c r="F21" s="2" t="e">
        <f>MID(乗換案内検索結果入力シート!$B$4,E21+3,E22-E21-4)</f>
        <v>#VALUE!</v>
      </c>
      <c r="G21" s="2" t="s">
        <v>41</v>
      </c>
      <c r="H21" s="2" t="e">
        <f t="shared" ref="H21" si="11">LEFT(F21,FIND(" ",F21)-1)</f>
        <v>#VALUE!</v>
      </c>
    </row>
    <row r="22" spans="1:8" x14ac:dyDescent="0.15">
      <c r="B22" s="2" t="s">
        <v>79</v>
      </c>
      <c r="C22" s="2" t="e">
        <f>FIND(" ",乗換案内検索結果入力シート!$B$4,C21)</f>
        <v>#VALUE!</v>
      </c>
      <c r="D22" s="2" t="s">
        <v>80</v>
      </c>
      <c r="E22" s="2" t="e">
        <f>FIND("｜",乗換案内検索結果入力シート!$B$4,E21+1)</f>
        <v>#VALUE!</v>
      </c>
      <c r="F22" s="2" t="e">
        <f>MID(乗換案内検索結果入力シート!$B$4,E22+3,E23-E22-4)</f>
        <v>#VALUE!</v>
      </c>
      <c r="G22" s="2" t="s">
        <v>28</v>
      </c>
      <c r="H22" s="2" t="e">
        <f t="shared" ref="H22" si="12">MID(F21,LEN(H21)+4,FIND("km",F21,LEN(H21))-LEN(H21)-4)</f>
        <v>#VALUE!</v>
      </c>
    </row>
    <row r="23" spans="1:8" x14ac:dyDescent="0.15">
      <c r="A23" s="2">
        <v>7</v>
      </c>
      <c r="B23" s="5" t="s">
        <v>81</v>
      </c>
      <c r="C23" s="5" t="e">
        <f>MID(乗換案内検索結果入力シート!$B$4,C21+1,C22-C21-1)</f>
        <v>#VALUE!</v>
      </c>
      <c r="D23" s="2" t="s">
        <v>82</v>
      </c>
      <c r="E23" s="2" t="e">
        <f>FIND("｜",乗換案内検索結果入力シート!$B$4,E22+1)</f>
        <v>#VALUE!</v>
      </c>
      <c r="G23" s="2" t="s">
        <v>46</v>
      </c>
      <c r="H23" s="2" t="e">
        <f t="shared" ref="H23" si="13">MID(F22,FIND("［",F22)+1,FIND("］",F22)-FIND("［",F22)-2)</f>
        <v>#VALUE!</v>
      </c>
    </row>
    <row r="24" spans="1:8" x14ac:dyDescent="0.15">
      <c r="B24" s="2" t="s">
        <v>83</v>
      </c>
      <c r="C24" s="2" t="e">
        <f>FIND("◇",乗換案内検索結果入力シート!$B$4,C22)</f>
        <v>#VALUE!</v>
      </c>
      <c r="D24" s="2" t="s">
        <v>84</v>
      </c>
      <c r="E24" s="2" t="e">
        <f>FIND("｜",乗換案内検索結果入力シート!$B$4,FIND("◇"&amp;C26,乗換案内検索結果入力シート!$B$4))</f>
        <v>#VALUE!</v>
      </c>
      <c r="F24" s="2" t="e">
        <f>MID(乗換案内検索結果入力シート!$B$4,E24+3,E25-E24-4)</f>
        <v>#VALUE!</v>
      </c>
      <c r="G24" s="2" t="s">
        <v>41</v>
      </c>
      <c r="H24" s="2" t="e">
        <f t="shared" ref="H24" si="14">LEFT(F24,FIND(" ",F24)-1)</f>
        <v>#VALUE!</v>
      </c>
    </row>
    <row r="25" spans="1:8" x14ac:dyDescent="0.15">
      <c r="B25" s="2" t="s">
        <v>85</v>
      </c>
      <c r="C25" s="2" t="e">
        <f>FIND(" ",乗換案内検索結果入力シート!$B$4,C24)</f>
        <v>#VALUE!</v>
      </c>
      <c r="D25" s="2" t="s">
        <v>86</v>
      </c>
      <c r="E25" s="2" t="e">
        <f>FIND("｜",乗換案内検索結果入力シート!$B$4,E24+1)</f>
        <v>#VALUE!</v>
      </c>
      <c r="F25" s="2" t="e">
        <f>MID(乗換案内検索結果入力シート!$B$4,E25+3,E26-E25-4)</f>
        <v>#VALUE!</v>
      </c>
      <c r="G25" s="2" t="s">
        <v>28</v>
      </c>
      <c r="H25" s="2" t="e">
        <f t="shared" ref="H25" si="15">MID(F24,LEN(H24)+4,FIND("km",F24,LEN(H24))-LEN(H24)-4)</f>
        <v>#VALUE!</v>
      </c>
    </row>
    <row r="26" spans="1:8" x14ac:dyDescent="0.15">
      <c r="A26" s="2">
        <v>8</v>
      </c>
      <c r="B26" s="5" t="s">
        <v>87</v>
      </c>
      <c r="C26" s="5" t="e">
        <f>MID(乗換案内検索結果入力シート!$B$4,C24+1,C25-C24-1)</f>
        <v>#VALUE!</v>
      </c>
      <c r="D26" s="2" t="s">
        <v>88</v>
      </c>
      <c r="E26" s="2" t="e">
        <f>FIND("｜",乗換案内検索結果入力シート!$B$4,E25+1)</f>
        <v>#VALUE!</v>
      </c>
      <c r="G26" s="2" t="s">
        <v>46</v>
      </c>
      <c r="H26" s="2" t="e">
        <f t="shared" ref="H26" si="16">MID(F25,FIND("［",F25)+1,FIND("］",F25)-FIND("［",F25)-2)</f>
        <v>#VALUE!</v>
      </c>
    </row>
    <row r="27" spans="1:8" x14ac:dyDescent="0.15">
      <c r="B27" s="2" t="s">
        <v>89</v>
      </c>
      <c r="C27" s="2" t="e">
        <f>FIND("◇",乗換案内検索結果入力シート!$B$4,C25)</f>
        <v>#VALUE!</v>
      </c>
      <c r="D27" s="2" t="s">
        <v>90</v>
      </c>
      <c r="E27" s="2" t="e">
        <f>FIND("｜",乗換案内検索結果入力シート!$B$4,FIND("◇"&amp;C29,乗換案内検索結果入力シート!$B$4))</f>
        <v>#VALUE!</v>
      </c>
      <c r="F27" s="2" t="e">
        <f>MID(乗換案内検索結果入力シート!$B$4,E27+3,E28-E27-4)</f>
        <v>#VALUE!</v>
      </c>
      <c r="G27" s="2" t="s">
        <v>41</v>
      </c>
      <c r="H27" s="2" t="e">
        <f t="shared" ref="H27" si="17">LEFT(F27,FIND(" ",F27)-1)</f>
        <v>#VALUE!</v>
      </c>
    </row>
    <row r="28" spans="1:8" x14ac:dyDescent="0.15">
      <c r="B28" s="2" t="s">
        <v>91</v>
      </c>
      <c r="C28" s="2" t="e">
        <f>FIND(" ",乗換案内検索結果入力シート!$B$4,C27)</f>
        <v>#VALUE!</v>
      </c>
      <c r="D28" s="2" t="s">
        <v>92</v>
      </c>
      <c r="E28" s="2" t="e">
        <f>FIND("｜",乗換案内検索結果入力シート!$B$4,E27+1)</f>
        <v>#VALUE!</v>
      </c>
      <c r="F28" s="2" t="e">
        <f>MID(乗換案内検索結果入力シート!$B$4,E28+3,E29-E28-4)</f>
        <v>#VALUE!</v>
      </c>
      <c r="G28" s="2" t="s">
        <v>28</v>
      </c>
      <c r="H28" s="2" t="e">
        <f t="shared" ref="H28" si="18">MID(F27,LEN(H27)+4,FIND("km",F27,LEN(H27))-LEN(H27)-4)</f>
        <v>#VALUE!</v>
      </c>
    </row>
    <row r="29" spans="1:8" x14ac:dyDescent="0.15">
      <c r="A29" s="2">
        <v>9</v>
      </c>
      <c r="B29" s="5" t="s">
        <v>87</v>
      </c>
      <c r="C29" s="5" t="e">
        <f>MID(乗換案内検索結果入力シート!$B$4,C27+1,C28-C27-1)</f>
        <v>#VALUE!</v>
      </c>
      <c r="D29" s="2" t="s">
        <v>94</v>
      </c>
      <c r="E29" s="2" t="e">
        <f>FIND("｜",乗換案内検索結果入力シート!$B$4,E28+1)</f>
        <v>#VALUE!</v>
      </c>
      <c r="G29" s="2" t="s">
        <v>46</v>
      </c>
      <c r="H29" s="2" t="e">
        <f t="shared" ref="H29" si="19">MID(F28,FIND("［",F28)+1,FIND("］",F28)-FIND("［",F28)-2)</f>
        <v>#VALUE!</v>
      </c>
    </row>
    <row r="30" spans="1:8" x14ac:dyDescent="0.15">
      <c r="B30" s="2" t="s">
        <v>95</v>
      </c>
      <c r="C30" s="8" t="e">
        <f>FIND("■",乗換案内検索結果入力シート!$B$4,C3+1)</f>
        <v>#VALUE!</v>
      </c>
      <c r="D30" s="2" t="s">
        <v>96</v>
      </c>
      <c r="E30" s="2" t="e">
        <f>FIND("｜",乗換案内検索結果入力シート!$D$4,FIND("◇"&amp;C32,乗換案内検索結果入力シート!$D$4))</f>
        <v>#VALUE!</v>
      </c>
      <c r="F30" s="2" t="e">
        <f>MID(乗換案内検索結果入力シート!$D$4,E30+3,E31-E30-4)</f>
        <v>#VALUE!</v>
      </c>
      <c r="G30" s="2" t="s">
        <v>41</v>
      </c>
      <c r="H30" s="2" t="e">
        <f t="shared" ref="H30" si="20">LEFT(F30,FIND(" ",F30)-1)</f>
        <v>#VALUE!</v>
      </c>
    </row>
    <row r="31" spans="1:8" x14ac:dyDescent="0.15">
      <c r="B31" s="2" t="s">
        <v>97</v>
      </c>
      <c r="C31" s="8" t="e">
        <f>IFERROR(FIND(" ",乗換案内検索結果入力シート!$B$4,C30),IF(LEN(乗換案内検索結果入力シート!$B$4)=0,#VALUE!,LEN(乗換案内検索結果入力シート!$B$4)+1))</f>
        <v>#VALUE!</v>
      </c>
      <c r="D31" s="2" t="s">
        <v>98</v>
      </c>
      <c r="E31" s="2" t="e">
        <f>FIND("｜",乗換案内検索結果入力シート!$D$4,E30+1)</f>
        <v>#VALUE!</v>
      </c>
      <c r="F31" s="2" t="e">
        <f>MID(乗換案内検索結果入力シート!$D$4,E31+3,E32-E31-4)</f>
        <v>#VALUE!</v>
      </c>
      <c r="G31" s="2" t="s">
        <v>28</v>
      </c>
      <c r="H31" s="2" t="e">
        <f t="shared" ref="H31" si="21">MID(F30,LEN(H30)+4,FIND("km",F30,LEN(H30))-LEN(H30)-4)</f>
        <v>#VALUE!</v>
      </c>
    </row>
    <row r="32" spans="1:8" x14ac:dyDescent="0.15">
      <c r="A32" s="2">
        <v>10</v>
      </c>
      <c r="B32" s="3" t="s">
        <v>99</v>
      </c>
      <c r="C32" s="9" t="e">
        <f>IF(ISERROR(C31),MID(乗換案内検索結果入力シート!$B$4,C30+1,100),MID(乗換案内検索結果入力シート!$B$4,C30+1,C31-C30-1))</f>
        <v>#VALUE!</v>
      </c>
      <c r="D32" s="2" t="s">
        <v>100</v>
      </c>
      <c r="E32" s="2" t="e">
        <f>FIND("｜",乗換案内検索結果入力シート!$D$4,E31+1)</f>
        <v>#VALUE!</v>
      </c>
      <c r="G32" s="2" t="s">
        <v>46</v>
      </c>
      <c r="H32" s="2" t="e">
        <f t="shared" ref="H32" si="22">MID(F31,FIND("［",F31)+1,FIND("］",F31)-FIND("［",F31)-2)</f>
        <v>#VALUE!</v>
      </c>
    </row>
  </sheetData>
  <phoneticPr fontId="8"/>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theme="0" tint="-0.499984740745262"/>
  </sheetPr>
  <dimension ref="A1:H32"/>
  <sheetViews>
    <sheetView zoomScale="85" zoomScaleNormal="85" workbookViewId="0"/>
  </sheetViews>
  <sheetFormatPr defaultColWidth="10" defaultRowHeight="13.5" x14ac:dyDescent="0.15"/>
  <cols>
    <col min="1" max="1" width="4" style="2" customWidth="1"/>
    <col min="2" max="2" width="24.5" style="2" customWidth="1"/>
    <col min="3" max="3" width="35" style="2" customWidth="1"/>
    <col min="4" max="4" width="14.5" style="2" customWidth="1"/>
    <col min="5" max="5" width="10.125" style="2" customWidth="1"/>
    <col min="6" max="6" width="64.5" style="2" customWidth="1"/>
    <col min="7" max="7" width="5.75" style="2" customWidth="1"/>
    <col min="8" max="8" width="53.375" style="2" customWidth="1"/>
    <col min="9" max="16384" width="10" style="2"/>
  </cols>
  <sheetData>
    <row r="1" spans="1:8" x14ac:dyDescent="0.15">
      <c r="B1" s="2" t="s">
        <v>38</v>
      </c>
      <c r="C1" s="2">
        <f>10-COUNTIF($C$3:$C$32,"#VALUE!")/3</f>
        <v>0</v>
      </c>
    </row>
    <row r="3" spans="1:8" x14ac:dyDescent="0.15">
      <c r="B3" s="2" t="s">
        <v>39</v>
      </c>
      <c r="C3" s="2" t="e">
        <f>FIND("■",乗換案内検索結果入力シート!$D$4,1)</f>
        <v>#VALUE!</v>
      </c>
      <c r="D3" s="2" t="s">
        <v>40</v>
      </c>
      <c r="E3" s="2" t="e">
        <f>FIND("｜",乗換案内検索結果入力シート!$D$4,FIND("■"&amp;C5,乗換案内検索結果入力シート!$D$4))</f>
        <v>#VALUE!</v>
      </c>
      <c r="F3" s="2" t="e">
        <f>MID(乗換案内検索結果入力シート!$D$4,E3+3,E4-E3-4)</f>
        <v>#VALUE!</v>
      </c>
      <c r="G3" s="2" t="s">
        <v>41</v>
      </c>
      <c r="H3" s="2" t="e">
        <f>LEFT(F3,FIND(" ",F3)-1)</f>
        <v>#VALUE!</v>
      </c>
    </row>
    <row r="4" spans="1:8" x14ac:dyDescent="0.15">
      <c r="B4" s="2" t="s">
        <v>42</v>
      </c>
      <c r="C4" s="2" t="e">
        <f>FIND(" ",乗換案内検索結果入力シート!$D$4,C3)</f>
        <v>#VALUE!</v>
      </c>
      <c r="D4" s="2" t="s">
        <v>43</v>
      </c>
      <c r="E4" s="2" t="e">
        <f>FIND("｜",乗換案内検索結果入力シート!$D$4,E3+1)</f>
        <v>#VALUE!</v>
      </c>
      <c r="F4" s="2" t="e">
        <f>MID(乗換案内検索結果入力シート!$D$4,E4+3,E5-E4-4)</f>
        <v>#VALUE!</v>
      </c>
      <c r="G4" s="2" t="s">
        <v>28</v>
      </c>
      <c r="H4" s="2" t="e">
        <f>MID(F3,LEN(H3)+4,FIND("km",F3,LEN(H3))-LEN(H3)-4)</f>
        <v>#VALUE!</v>
      </c>
    </row>
    <row r="5" spans="1:8" x14ac:dyDescent="0.15">
      <c r="A5" s="2">
        <v>1</v>
      </c>
      <c r="B5" s="3" t="s">
        <v>44</v>
      </c>
      <c r="C5" s="4" t="e">
        <f>MID(乗換案内検索結果入力シート!$D$4,C3+1,C4-C3-1)</f>
        <v>#VALUE!</v>
      </c>
      <c r="D5" s="2" t="s">
        <v>45</v>
      </c>
      <c r="E5" s="2" t="e">
        <f>FIND("｜",乗換案内検索結果入力シート!$D$4,E4+1)</f>
        <v>#VALUE!</v>
      </c>
      <c r="G5" s="2" t="s">
        <v>46</v>
      </c>
      <c r="H5" s="2" t="e">
        <f>MID(F4,FIND("［",F4)+1,FIND("］",F4)-FIND("［",F4)-2)</f>
        <v>#VALUE!</v>
      </c>
    </row>
    <row r="6" spans="1:8" x14ac:dyDescent="0.15">
      <c r="B6" s="2" t="s">
        <v>47</v>
      </c>
      <c r="C6" s="2" t="e">
        <f>FIND("◇",乗換案内検索結果入力シート!$D$4,C4)</f>
        <v>#VALUE!</v>
      </c>
      <c r="D6" s="2" t="s">
        <v>48</v>
      </c>
      <c r="E6" s="2" t="e">
        <f>FIND("｜",乗換案内検索結果入力シート!$D$4,FIND("◇"&amp;C8,乗換案内検索結果入力シート!$D$4))</f>
        <v>#VALUE!</v>
      </c>
      <c r="F6" s="2" t="e">
        <f>MID(乗換案内検索結果入力シート!$D$4,E6+3,E7-E6-4)</f>
        <v>#VALUE!</v>
      </c>
      <c r="G6" s="2" t="s">
        <v>41</v>
      </c>
      <c r="H6" s="2" t="e">
        <f>LEFT(F6,FIND(" ",F6)-1)</f>
        <v>#VALUE!</v>
      </c>
    </row>
    <row r="7" spans="1:8" x14ac:dyDescent="0.15">
      <c r="B7" s="2" t="s">
        <v>49</v>
      </c>
      <c r="C7" s="2" t="e">
        <f>FIND(" ",乗換案内検索結果入力シート!$D$4,C6)</f>
        <v>#VALUE!</v>
      </c>
      <c r="D7" s="2" t="s">
        <v>50</v>
      </c>
      <c r="E7" s="2" t="e">
        <f>FIND("｜",乗換案内検索結果入力シート!$D$4,E6+1)</f>
        <v>#VALUE!</v>
      </c>
      <c r="F7" s="2" t="e">
        <f>MID(乗換案内検索結果入力シート!$D$4,E7+3,E8-E7-4)</f>
        <v>#VALUE!</v>
      </c>
      <c r="G7" s="2" t="s">
        <v>28</v>
      </c>
      <c r="H7" s="2" t="e">
        <f>MID(F6,LEN(H6)+4,FIND("km",F6,LEN(H6))-LEN(H6)-4)</f>
        <v>#VALUE!</v>
      </c>
    </row>
    <row r="8" spans="1:8" x14ac:dyDescent="0.15">
      <c r="A8" s="2">
        <v>2</v>
      </c>
      <c r="B8" s="5" t="s">
        <v>51</v>
      </c>
      <c r="C8" s="5" t="e">
        <f>MID(乗換案内検索結果入力シート!$D$4,C6+1,C7-C6-1)</f>
        <v>#VALUE!</v>
      </c>
      <c r="D8" s="2" t="s">
        <v>52</v>
      </c>
      <c r="E8" s="2" t="e">
        <f>FIND("｜",乗換案内検索結果入力シート!$D$4,E7+1)</f>
        <v>#VALUE!</v>
      </c>
      <c r="G8" s="2" t="s">
        <v>46</v>
      </c>
      <c r="H8" s="2" t="e">
        <f>MID(F7,FIND("［",F7)+1,FIND("］",F7)-FIND("［",F7)-2)</f>
        <v>#VALUE!</v>
      </c>
    </row>
    <row r="9" spans="1:8" x14ac:dyDescent="0.15">
      <c r="B9" s="2" t="s">
        <v>53</v>
      </c>
      <c r="C9" s="2" t="e">
        <f>FIND("◇",乗換案内検索結果入力シート!$D$4,C7)</f>
        <v>#VALUE!</v>
      </c>
      <c r="D9" s="2" t="s">
        <v>54</v>
      </c>
      <c r="E9" s="2" t="e">
        <f>FIND("｜",乗換案内検索結果入力シート!$D$4,FIND("◇"&amp;C11,乗換案内検索結果入力シート!$D$4))</f>
        <v>#VALUE!</v>
      </c>
      <c r="F9" s="2" t="e">
        <f>MID(乗換案内検索結果入力シート!$D$4,E9+3,E10-E9-4)</f>
        <v>#VALUE!</v>
      </c>
      <c r="G9" s="2" t="s">
        <v>41</v>
      </c>
      <c r="H9" s="2" t="e">
        <f t="shared" ref="H9" si="0">LEFT(F9,FIND(" ",F9)-1)</f>
        <v>#VALUE!</v>
      </c>
    </row>
    <row r="10" spans="1:8" x14ac:dyDescent="0.15">
      <c r="B10" s="2" t="s">
        <v>55</v>
      </c>
      <c r="C10" s="2" t="e">
        <f>FIND(" ",乗換案内検索結果入力シート!$D$4,C9)</f>
        <v>#VALUE!</v>
      </c>
      <c r="D10" s="2" t="s">
        <v>56</v>
      </c>
      <c r="E10" s="2" t="e">
        <f>FIND("｜",乗換案内検索結果入力シート!$D$4,E9+1)</f>
        <v>#VALUE!</v>
      </c>
      <c r="F10" s="2" t="e">
        <f>MID(乗換案内検索結果入力シート!$D$4,E10+3,E11-E10-4)</f>
        <v>#VALUE!</v>
      </c>
      <c r="G10" s="2" t="s">
        <v>28</v>
      </c>
      <c r="H10" s="2" t="e">
        <f t="shared" ref="H10" si="1">MID(F9,LEN(H9)+4,FIND("km",F9,LEN(H9))-LEN(H9)-4)</f>
        <v>#VALUE!</v>
      </c>
    </row>
    <row r="11" spans="1:8" x14ac:dyDescent="0.15">
      <c r="A11" s="2">
        <v>3</v>
      </c>
      <c r="B11" s="5" t="s">
        <v>57</v>
      </c>
      <c r="C11" s="5" t="e">
        <f>MID(乗換案内検索結果入力シート!$D$4,C9+1,C10-C9-1)</f>
        <v>#VALUE!</v>
      </c>
      <c r="D11" s="2" t="s">
        <v>58</v>
      </c>
      <c r="E11" s="2" t="e">
        <f>FIND("｜",乗換案内検索結果入力シート!$D$4,E10+1)</f>
        <v>#VALUE!</v>
      </c>
      <c r="G11" s="2" t="s">
        <v>46</v>
      </c>
      <c r="H11" s="2" t="e">
        <f t="shared" ref="H11" si="2">MID(F10,FIND("［",F10)+1,FIND("］",F10)-FIND("［",F10)-2)</f>
        <v>#VALUE!</v>
      </c>
    </row>
    <row r="12" spans="1:8" x14ac:dyDescent="0.15">
      <c r="B12" s="2" t="s">
        <v>59</v>
      </c>
      <c r="C12" s="2" t="e">
        <f>FIND("◇",乗換案内検索結果入力シート!$D$4,C10)</f>
        <v>#VALUE!</v>
      </c>
      <c r="D12" s="2" t="s">
        <v>60</v>
      </c>
      <c r="E12" s="2" t="e">
        <f>FIND("｜",乗換案内検索結果入力シート!$D$4,FIND("◇"&amp;C14,乗換案内検索結果入力シート!$D$4))</f>
        <v>#VALUE!</v>
      </c>
      <c r="F12" s="2" t="e">
        <f>MID(乗換案内検索結果入力シート!$D$4,E12+3,E13-E12-4)</f>
        <v>#VALUE!</v>
      </c>
      <c r="G12" s="2" t="s">
        <v>41</v>
      </c>
      <c r="H12" s="2" t="e">
        <f t="shared" ref="H12" si="3">LEFT(F12,FIND(" ",F12)-1)</f>
        <v>#VALUE!</v>
      </c>
    </row>
    <row r="13" spans="1:8" x14ac:dyDescent="0.15">
      <c r="B13" s="2" t="s">
        <v>61</v>
      </c>
      <c r="C13" s="2" t="e">
        <f>FIND(" ",乗換案内検索結果入力シート!$D$4,C12)</f>
        <v>#VALUE!</v>
      </c>
      <c r="D13" s="2" t="s">
        <v>62</v>
      </c>
      <c r="E13" s="2" t="e">
        <f>FIND("｜",乗換案内検索結果入力シート!$D$4,E12+1)</f>
        <v>#VALUE!</v>
      </c>
      <c r="F13" s="2" t="e">
        <f>MID(乗換案内検索結果入力シート!$D$4,E13+3,E14-E13-4)</f>
        <v>#VALUE!</v>
      </c>
      <c r="G13" s="2" t="s">
        <v>28</v>
      </c>
      <c r="H13" s="2" t="e">
        <f t="shared" ref="H13" si="4">MID(F12,LEN(H12)+4,FIND("km",F12,LEN(H12))-LEN(H12)-4)</f>
        <v>#VALUE!</v>
      </c>
    </row>
    <row r="14" spans="1:8" x14ac:dyDescent="0.15">
      <c r="A14" s="2">
        <v>4</v>
      </c>
      <c r="B14" s="5" t="s">
        <v>63</v>
      </c>
      <c r="C14" s="5" t="e">
        <f>MID(乗換案内検索結果入力シート!$D$4,C12+1,C13-C12-1)</f>
        <v>#VALUE!</v>
      </c>
      <c r="D14" s="2" t="s">
        <v>64</v>
      </c>
      <c r="E14" s="2" t="e">
        <f>FIND("｜",乗換案内検索結果入力シート!$D$4,E13+1)</f>
        <v>#VALUE!</v>
      </c>
      <c r="G14" s="2" t="s">
        <v>46</v>
      </c>
      <c r="H14" s="2" t="e">
        <f t="shared" ref="H14" si="5">MID(F13,FIND("［",F13)+1,FIND("］",F13)-FIND("［",F13)-2)</f>
        <v>#VALUE!</v>
      </c>
    </row>
    <row r="15" spans="1:8" x14ac:dyDescent="0.15">
      <c r="B15" s="2" t="s">
        <v>65</v>
      </c>
      <c r="C15" s="2" t="e">
        <f>FIND("◇",乗換案内検索結果入力シート!$D$4,C13)</f>
        <v>#VALUE!</v>
      </c>
      <c r="D15" s="2" t="s">
        <v>66</v>
      </c>
      <c r="E15" s="2" t="e">
        <f>FIND("｜",乗換案内検索結果入力シート!$D$4,FIND("◇"&amp;C17,乗換案内検索結果入力シート!$D$4))</f>
        <v>#VALUE!</v>
      </c>
      <c r="F15" s="2" t="e">
        <f>MID(乗換案内検索結果入力シート!$D$4,E15+3,E16-E15-4)</f>
        <v>#VALUE!</v>
      </c>
      <c r="G15" s="2" t="s">
        <v>41</v>
      </c>
      <c r="H15" s="2" t="e">
        <f t="shared" ref="H15" si="6">LEFT(F15,FIND(" ",F15)-1)</f>
        <v>#VALUE!</v>
      </c>
    </row>
    <row r="16" spans="1:8" x14ac:dyDescent="0.15">
      <c r="B16" s="2" t="s">
        <v>67</v>
      </c>
      <c r="C16" s="2" t="e">
        <f>FIND(" ",乗換案内検索結果入力シート!$D$4,C15)</f>
        <v>#VALUE!</v>
      </c>
      <c r="D16" s="2" t="s">
        <v>68</v>
      </c>
      <c r="E16" s="2" t="e">
        <f>FIND("｜",乗換案内検索結果入力シート!$D$4,E15+1)</f>
        <v>#VALUE!</v>
      </c>
      <c r="F16" s="2" t="e">
        <f>MID(乗換案内検索結果入力シート!$D$4,E16+3,E17-E16-4)</f>
        <v>#VALUE!</v>
      </c>
      <c r="G16" s="2" t="s">
        <v>28</v>
      </c>
      <c r="H16" s="2" t="e">
        <f t="shared" ref="H16" si="7">MID(F15,LEN(H15)+4,FIND("km",F15,LEN(H15))-LEN(H15)-4)</f>
        <v>#VALUE!</v>
      </c>
    </row>
    <row r="17" spans="1:8" x14ac:dyDescent="0.15">
      <c r="A17" s="2">
        <v>5</v>
      </c>
      <c r="B17" s="5" t="s">
        <v>69</v>
      </c>
      <c r="C17" s="5" t="e">
        <f>MID(乗換案内検索結果入力シート!$D$4,C15+1,C16-C15-1)</f>
        <v>#VALUE!</v>
      </c>
      <c r="D17" s="2" t="s">
        <v>70</v>
      </c>
      <c r="E17" s="2" t="e">
        <f>FIND("｜",乗換案内検索結果入力シート!$D$4,E16+1)</f>
        <v>#VALUE!</v>
      </c>
      <c r="G17" s="2" t="s">
        <v>46</v>
      </c>
      <c r="H17" s="2" t="e">
        <f t="shared" ref="H17" si="8">MID(F16,FIND("［",F16)+1,FIND("］",F16)-FIND("［",F16)-2)</f>
        <v>#VALUE!</v>
      </c>
    </row>
    <row r="18" spans="1:8" x14ac:dyDescent="0.15">
      <c r="B18" s="2" t="s">
        <v>71</v>
      </c>
      <c r="C18" s="2" t="e">
        <f>FIND("◇",乗換案内検索結果入力シート!$D$4,C16)</f>
        <v>#VALUE!</v>
      </c>
      <c r="D18" s="2" t="s">
        <v>72</v>
      </c>
      <c r="E18" s="2" t="e">
        <f>FIND("｜",乗換案内検索結果入力シート!$D$4,FIND("◇"&amp;C20,乗換案内検索結果入力シート!$D$4))</f>
        <v>#VALUE!</v>
      </c>
      <c r="F18" s="2" t="e">
        <f>MID(乗換案内検索結果入力シート!$D$4,E18+3,E19-E18-4)</f>
        <v>#VALUE!</v>
      </c>
      <c r="G18" s="2" t="s">
        <v>41</v>
      </c>
      <c r="H18" s="2" t="e">
        <f t="shared" ref="H18" si="9">LEFT(F18,FIND(" ",F18)-1)</f>
        <v>#VALUE!</v>
      </c>
    </row>
    <row r="19" spans="1:8" x14ac:dyDescent="0.15">
      <c r="B19" s="2" t="s">
        <v>73</v>
      </c>
      <c r="C19" s="2" t="e">
        <f>FIND(" ",乗換案内検索結果入力シート!$D$4,C18)</f>
        <v>#VALUE!</v>
      </c>
      <c r="D19" s="2" t="s">
        <v>74</v>
      </c>
      <c r="E19" s="2" t="e">
        <f>FIND("｜",乗換案内検索結果入力シート!$D$4,E18+1)</f>
        <v>#VALUE!</v>
      </c>
      <c r="F19" s="2" t="e">
        <f>MID(乗換案内検索結果入力シート!$D$4,E19+3,E20-E19-4)</f>
        <v>#VALUE!</v>
      </c>
      <c r="G19" s="2" t="s">
        <v>28</v>
      </c>
      <c r="H19" s="2" t="e">
        <f t="shared" ref="H19" si="10">MID(F18,LEN(H18)+4,FIND("km",F18,LEN(H18))-LEN(H18)-4)</f>
        <v>#VALUE!</v>
      </c>
    </row>
    <row r="20" spans="1:8" x14ac:dyDescent="0.15">
      <c r="A20" s="2">
        <v>6</v>
      </c>
      <c r="B20" s="5" t="s">
        <v>75</v>
      </c>
      <c r="C20" s="5" t="e">
        <f>MID(乗換案内検索結果入力シート!$D$4,C18+1,C19-C18-1)</f>
        <v>#VALUE!</v>
      </c>
      <c r="D20" s="2" t="s">
        <v>76</v>
      </c>
      <c r="E20" s="2" t="e">
        <f>FIND("｜",乗換案内検索結果入力シート!$D$4,E19+1)</f>
        <v>#VALUE!</v>
      </c>
      <c r="G20" s="2" t="s">
        <v>46</v>
      </c>
      <c r="H20" s="2" t="e">
        <f t="shared" ref="H20" si="11">MID(F19,FIND("［",F19)+1,FIND("］",F19)-FIND("［",F19)-2)</f>
        <v>#VALUE!</v>
      </c>
    </row>
    <row r="21" spans="1:8" x14ac:dyDescent="0.15">
      <c r="B21" s="2" t="s">
        <v>77</v>
      </c>
      <c r="C21" s="2" t="e">
        <f>FIND("◇",乗換案内検索結果入力シート!$D$4,C19)</f>
        <v>#VALUE!</v>
      </c>
      <c r="D21" s="2" t="s">
        <v>78</v>
      </c>
      <c r="E21" s="2" t="e">
        <f>FIND("｜",乗換案内検索結果入力シート!$D$4,FIND("◇"&amp;C23,乗換案内検索結果入力シート!$D$4))</f>
        <v>#VALUE!</v>
      </c>
      <c r="F21" s="2" t="e">
        <f>MID(乗換案内検索結果入力シート!$D$4,E21+3,E22-E21-4)</f>
        <v>#VALUE!</v>
      </c>
      <c r="G21" s="2" t="s">
        <v>41</v>
      </c>
      <c r="H21" s="2" t="e">
        <f t="shared" ref="H21" si="12">LEFT(F21,FIND(" ",F21)-1)</f>
        <v>#VALUE!</v>
      </c>
    </row>
    <row r="22" spans="1:8" x14ac:dyDescent="0.15">
      <c r="B22" s="2" t="s">
        <v>79</v>
      </c>
      <c r="C22" s="2" t="e">
        <f>FIND(" ",乗換案内検索結果入力シート!$D$4,C21)</f>
        <v>#VALUE!</v>
      </c>
      <c r="D22" s="2" t="s">
        <v>80</v>
      </c>
      <c r="E22" s="2" t="e">
        <f>FIND("｜",乗換案内検索結果入力シート!$D$4,E21+1)</f>
        <v>#VALUE!</v>
      </c>
      <c r="F22" s="2" t="e">
        <f>MID(乗換案内検索結果入力シート!$D$4,E22+3,E23-E22-4)</f>
        <v>#VALUE!</v>
      </c>
      <c r="G22" s="2" t="s">
        <v>28</v>
      </c>
      <c r="H22" s="2" t="e">
        <f t="shared" ref="H22" si="13">MID(F21,LEN(H21)+4,FIND("km",F21,LEN(H21))-LEN(H21)-4)</f>
        <v>#VALUE!</v>
      </c>
    </row>
    <row r="23" spans="1:8" x14ac:dyDescent="0.15">
      <c r="A23" s="2">
        <v>7</v>
      </c>
      <c r="B23" s="5" t="s">
        <v>81</v>
      </c>
      <c r="C23" s="5" t="e">
        <f>MID(乗換案内検索結果入力シート!$D$4,C21+1,C22-C21-1)</f>
        <v>#VALUE!</v>
      </c>
      <c r="D23" s="2" t="s">
        <v>82</v>
      </c>
      <c r="E23" s="2" t="e">
        <f>FIND("｜",乗換案内検索結果入力シート!$D$4,E22+1)</f>
        <v>#VALUE!</v>
      </c>
      <c r="G23" s="2" t="s">
        <v>46</v>
      </c>
      <c r="H23" s="2" t="e">
        <f t="shared" ref="H23" si="14">MID(F22,FIND("［",F22)+1,FIND("］",F22)-FIND("［",F22)-2)</f>
        <v>#VALUE!</v>
      </c>
    </row>
    <row r="24" spans="1:8" x14ac:dyDescent="0.15">
      <c r="B24" s="2" t="s">
        <v>83</v>
      </c>
      <c r="C24" s="2" t="e">
        <f>FIND("◇",乗換案内検索結果入力シート!$D$4,C22)</f>
        <v>#VALUE!</v>
      </c>
      <c r="D24" s="2" t="s">
        <v>84</v>
      </c>
      <c r="E24" s="2" t="e">
        <f>FIND("｜",乗換案内検索結果入力シート!$D$4,FIND("◇"&amp;C26,乗換案内検索結果入力シート!$D$4))</f>
        <v>#VALUE!</v>
      </c>
      <c r="F24" s="2" t="e">
        <f>MID(乗換案内検索結果入力シート!$D$4,E24+3,E25-E24-4)</f>
        <v>#VALUE!</v>
      </c>
      <c r="G24" s="2" t="s">
        <v>41</v>
      </c>
      <c r="H24" s="2" t="e">
        <f t="shared" ref="H24" si="15">LEFT(F24,FIND(" ",F24)-1)</f>
        <v>#VALUE!</v>
      </c>
    </row>
    <row r="25" spans="1:8" x14ac:dyDescent="0.15">
      <c r="B25" s="2" t="s">
        <v>85</v>
      </c>
      <c r="C25" s="2" t="e">
        <f>FIND(" ",乗換案内検索結果入力シート!$D$4,C24)</f>
        <v>#VALUE!</v>
      </c>
      <c r="D25" s="2" t="s">
        <v>86</v>
      </c>
      <c r="E25" s="2" t="e">
        <f>FIND("｜",乗換案内検索結果入力シート!$D$4,E24+1)</f>
        <v>#VALUE!</v>
      </c>
      <c r="F25" s="2" t="e">
        <f>MID(乗換案内検索結果入力シート!$D$4,E25+3,E26-E25-4)</f>
        <v>#VALUE!</v>
      </c>
      <c r="G25" s="2" t="s">
        <v>28</v>
      </c>
      <c r="H25" s="2" t="e">
        <f t="shared" ref="H25" si="16">MID(F24,LEN(H24)+4,FIND("km",F24,LEN(H24))-LEN(H24)-4)</f>
        <v>#VALUE!</v>
      </c>
    </row>
    <row r="26" spans="1:8" x14ac:dyDescent="0.15">
      <c r="A26" s="2">
        <v>8</v>
      </c>
      <c r="B26" s="5" t="s">
        <v>87</v>
      </c>
      <c r="C26" s="5" t="e">
        <f>MID(乗換案内検索結果入力シート!$D$4,C24+1,C25-C24-1)</f>
        <v>#VALUE!</v>
      </c>
      <c r="D26" s="2" t="s">
        <v>88</v>
      </c>
      <c r="E26" s="2" t="e">
        <f>FIND("｜",乗換案内検索結果入力シート!$D$4,E25+1)</f>
        <v>#VALUE!</v>
      </c>
      <c r="G26" s="2" t="s">
        <v>46</v>
      </c>
      <c r="H26" s="2" t="e">
        <f t="shared" ref="H26" si="17">MID(F25,FIND("［",F25)+1,FIND("］",F25)-FIND("［",F25)-2)</f>
        <v>#VALUE!</v>
      </c>
    </row>
    <row r="27" spans="1:8" x14ac:dyDescent="0.15">
      <c r="B27" s="2" t="s">
        <v>89</v>
      </c>
      <c r="C27" s="2" t="e">
        <f>FIND("◇",乗換案内検索結果入力シート!$D$4,C25)</f>
        <v>#VALUE!</v>
      </c>
      <c r="D27" s="2" t="s">
        <v>90</v>
      </c>
      <c r="E27" s="2" t="e">
        <f>FIND("｜",乗換案内検索結果入力シート!$D$4,FIND("◇"&amp;C29,乗換案内検索結果入力シート!$D$4))</f>
        <v>#VALUE!</v>
      </c>
      <c r="F27" s="2" t="e">
        <f>MID(乗換案内検索結果入力シート!$D$4,E27+3,E28-E27-4)</f>
        <v>#VALUE!</v>
      </c>
      <c r="G27" s="2" t="s">
        <v>41</v>
      </c>
      <c r="H27" s="2" t="e">
        <f t="shared" ref="H27" si="18">LEFT(F27,FIND(" ",F27)-1)</f>
        <v>#VALUE!</v>
      </c>
    </row>
    <row r="28" spans="1:8" x14ac:dyDescent="0.15">
      <c r="B28" s="2" t="s">
        <v>91</v>
      </c>
      <c r="C28" s="2" t="e">
        <f>FIND(" ",乗換案内検索結果入力シート!$D$4,C27)</f>
        <v>#VALUE!</v>
      </c>
      <c r="D28" s="2" t="s">
        <v>92</v>
      </c>
      <c r="E28" s="2" t="e">
        <f>FIND("｜",乗換案内検索結果入力シート!$D$4,E27+1)</f>
        <v>#VALUE!</v>
      </c>
      <c r="F28" s="2" t="e">
        <f>MID(乗換案内検索結果入力シート!$D$4,E28+3,E29-E28-4)</f>
        <v>#VALUE!</v>
      </c>
      <c r="G28" s="2" t="s">
        <v>28</v>
      </c>
      <c r="H28" s="2" t="e">
        <f t="shared" ref="H28" si="19">MID(F27,LEN(H27)+4,FIND("km",F27,LEN(H27))-LEN(H27)-4)</f>
        <v>#VALUE!</v>
      </c>
    </row>
    <row r="29" spans="1:8" x14ac:dyDescent="0.15">
      <c r="A29" s="2">
        <v>9</v>
      </c>
      <c r="B29" s="5" t="s">
        <v>93</v>
      </c>
      <c r="C29" s="5" t="e">
        <f>MID(乗換案内検索結果入力シート!$D$4,C27+1,C28-C27-1)</f>
        <v>#VALUE!</v>
      </c>
      <c r="D29" s="2" t="s">
        <v>94</v>
      </c>
      <c r="E29" s="2" t="e">
        <f>FIND("｜",乗換案内検索結果入力シート!$D$4,E28+1)</f>
        <v>#VALUE!</v>
      </c>
      <c r="G29" s="2" t="s">
        <v>46</v>
      </c>
      <c r="H29" s="2" t="e">
        <f t="shared" ref="H29" si="20">MID(F28,FIND("［",F28)+1,FIND("］",F28)-FIND("［",F28)-2)</f>
        <v>#VALUE!</v>
      </c>
    </row>
    <row r="30" spans="1:8" x14ac:dyDescent="0.15">
      <c r="B30" s="2" t="s">
        <v>95</v>
      </c>
      <c r="C30" s="2" t="e">
        <f>FIND("■",乗換案内検索結果入力シート!$D$4,C3+1)</f>
        <v>#VALUE!</v>
      </c>
      <c r="D30" s="2" t="s">
        <v>96</v>
      </c>
      <c r="E30" s="2" t="e">
        <f>FIND("｜",乗換案内検索結果入力シート!$D$4,FIND("◇"&amp;C32,乗換案内検索結果入力シート!$D$4))</f>
        <v>#VALUE!</v>
      </c>
      <c r="F30" s="2" t="e">
        <f>MID(乗換案内検索結果入力シート!$D$4,E30+3,E31-E30-4)</f>
        <v>#VALUE!</v>
      </c>
      <c r="G30" s="2" t="s">
        <v>41</v>
      </c>
      <c r="H30" s="2" t="e">
        <f t="shared" ref="H30" si="21">LEFT(F30,FIND(" ",F30)-1)</f>
        <v>#VALUE!</v>
      </c>
    </row>
    <row r="31" spans="1:8" x14ac:dyDescent="0.15">
      <c r="B31" s="2" t="s">
        <v>97</v>
      </c>
      <c r="C31" s="2" t="e">
        <f>IFERROR(FIND(" ",乗換案内検索結果入力シート!$D$4,C30),IF(LEN(乗換案内検索結果入力シート!$D$4)=0,#VALUE!,LEN(乗換案内検索結果入力シート!$D$4)+1))</f>
        <v>#VALUE!</v>
      </c>
      <c r="D31" s="2" t="s">
        <v>98</v>
      </c>
      <c r="E31" s="2" t="e">
        <f>FIND("｜",乗換案内検索結果入力シート!$D$4,E30+1)</f>
        <v>#VALUE!</v>
      </c>
      <c r="F31" s="2" t="e">
        <f>MID(乗換案内検索結果入力シート!$D$4,E31+3,E32-E31-4)</f>
        <v>#VALUE!</v>
      </c>
      <c r="G31" s="2" t="s">
        <v>28</v>
      </c>
      <c r="H31" s="2" t="e">
        <f t="shared" ref="H31" si="22">MID(F30,LEN(H30)+4,FIND("km",F30,LEN(H30))-LEN(H30)-4)</f>
        <v>#VALUE!</v>
      </c>
    </row>
    <row r="32" spans="1:8" x14ac:dyDescent="0.15">
      <c r="A32" s="2">
        <v>10</v>
      </c>
      <c r="B32" s="3" t="s">
        <v>99</v>
      </c>
      <c r="C32" s="3" t="e">
        <f>IF(ISERROR(C31),MID(乗換案内検索結果入力シート!$D$4,C30+1,100),MID(乗換案内検索結果入力シート!$D$4,C30+1,C31-C30-1))</f>
        <v>#VALUE!</v>
      </c>
      <c r="D32" s="2" t="s">
        <v>100</v>
      </c>
      <c r="E32" s="2" t="e">
        <f>FIND("｜",乗換案内検索結果入力シート!$D$4,E31+1)</f>
        <v>#VALUE!</v>
      </c>
      <c r="G32" s="2" t="s">
        <v>46</v>
      </c>
      <c r="H32" s="2" t="e">
        <f t="shared" ref="H32" si="23">MID(F31,FIND("［",F31)+1,FIND("］",F31)-FIND("［",F31)-2)</f>
        <v>#VALUE!</v>
      </c>
    </row>
  </sheetData>
  <phoneticPr fontId="8"/>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0" tint="-0.499984740745262"/>
  </sheetPr>
  <dimension ref="A1:H32"/>
  <sheetViews>
    <sheetView zoomScale="85" zoomScaleNormal="85" workbookViewId="0"/>
  </sheetViews>
  <sheetFormatPr defaultColWidth="10" defaultRowHeight="13.5" x14ac:dyDescent="0.15"/>
  <cols>
    <col min="1" max="1" width="4" style="2" customWidth="1"/>
    <col min="2" max="2" width="24.5" style="2" customWidth="1"/>
    <col min="3" max="3" width="35" style="2" customWidth="1"/>
    <col min="4" max="4" width="14.5" style="2" customWidth="1"/>
    <col min="5" max="5" width="10.125" style="2" customWidth="1"/>
    <col min="6" max="6" width="64.5" style="2" customWidth="1"/>
    <col min="7" max="7" width="5.75" style="2" customWidth="1"/>
    <col min="8" max="8" width="53.375" style="2" customWidth="1"/>
    <col min="9" max="16384" width="10" style="2"/>
  </cols>
  <sheetData>
    <row r="1" spans="1:8" x14ac:dyDescent="0.15">
      <c r="B1" s="2" t="s">
        <v>38</v>
      </c>
      <c r="C1" s="2">
        <f>10-COUNTIF($C$3:$C$32,"#VALUE!")/3</f>
        <v>0</v>
      </c>
    </row>
    <row r="3" spans="1:8" x14ac:dyDescent="0.15">
      <c r="B3" s="2" t="s">
        <v>39</v>
      </c>
      <c r="C3" s="2" t="e">
        <f>FIND("■",乗換案内検索結果入力シート!$F$4,1)</f>
        <v>#VALUE!</v>
      </c>
      <c r="D3" s="2" t="s">
        <v>40</v>
      </c>
      <c r="E3" s="2" t="e">
        <f>FIND("｜",乗換案内検索結果入力シート!$F$4,FIND("■"&amp;C5,乗換案内検索結果入力シート!$F$4))</f>
        <v>#VALUE!</v>
      </c>
      <c r="F3" s="2" t="e">
        <f>MID(乗換案内検索結果入力シート!$F$4,E3+3,E4-E3-4)</f>
        <v>#VALUE!</v>
      </c>
      <c r="G3" s="2" t="s">
        <v>41</v>
      </c>
      <c r="H3" s="2" t="e">
        <f>LEFT(F3,FIND(" ",F3)-1)</f>
        <v>#VALUE!</v>
      </c>
    </row>
    <row r="4" spans="1:8" x14ac:dyDescent="0.15">
      <c r="B4" s="2" t="s">
        <v>42</v>
      </c>
      <c r="C4" s="2" t="e">
        <f>FIND(" ",乗換案内検索結果入力シート!$F$4,C3)</f>
        <v>#VALUE!</v>
      </c>
      <c r="D4" s="2" t="s">
        <v>43</v>
      </c>
      <c r="E4" s="2" t="e">
        <f>FIND("｜",乗換案内検索結果入力シート!$F$4,E3+1)</f>
        <v>#VALUE!</v>
      </c>
      <c r="F4" s="2" t="e">
        <f>MID(乗換案内検索結果入力シート!$F$4,E4+3,E5-E4-4)</f>
        <v>#VALUE!</v>
      </c>
      <c r="G4" s="2" t="s">
        <v>28</v>
      </c>
      <c r="H4" s="2" t="e">
        <f>MID(F3,LEN(H3)+4,FIND("km",F3,LEN(H3))-LEN(H3)-4)</f>
        <v>#VALUE!</v>
      </c>
    </row>
    <row r="5" spans="1:8" x14ac:dyDescent="0.15">
      <c r="A5" s="2">
        <v>1</v>
      </c>
      <c r="B5" s="3" t="s">
        <v>44</v>
      </c>
      <c r="C5" s="4" t="e">
        <f>MID(乗換案内検索結果入力シート!$F$4,C3+1,C4-C3-1)</f>
        <v>#VALUE!</v>
      </c>
      <c r="D5" s="2" t="s">
        <v>45</v>
      </c>
      <c r="E5" s="2" t="e">
        <f>FIND("｜",乗換案内検索結果入力シート!$F$4,E4+1)</f>
        <v>#VALUE!</v>
      </c>
      <c r="G5" s="2" t="s">
        <v>46</v>
      </c>
      <c r="H5" s="2" t="e">
        <f>MID(F4,FIND("［",F4)+1,FIND("］",F4)-FIND("［",F4)-2)</f>
        <v>#VALUE!</v>
      </c>
    </row>
    <row r="6" spans="1:8" x14ac:dyDescent="0.15">
      <c r="B6" s="2" t="s">
        <v>47</v>
      </c>
      <c r="C6" s="2" t="e">
        <f>FIND("◇",乗換案内検索結果入力シート!$F$4,C4)</f>
        <v>#VALUE!</v>
      </c>
      <c r="D6" s="2" t="s">
        <v>48</v>
      </c>
      <c r="E6" s="2" t="e">
        <f>FIND("｜",乗換案内検索結果入力シート!$F$4,FIND("◇"&amp;C8,乗換案内検索結果入力シート!$F$4))</f>
        <v>#VALUE!</v>
      </c>
      <c r="F6" s="2" t="e">
        <f>MID(乗換案内検索結果入力シート!$F$4,E6+3,E7-E6-4)</f>
        <v>#VALUE!</v>
      </c>
      <c r="G6" s="2" t="s">
        <v>41</v>
      </c>
      <c r="H6" s="2" t="e">
        <f>LEFT(F6,FIND(" ",F6)-1)</f>
        <v>#VALUE!</v>
      </c>
    </row>
    <row r="7" spans="1:8" x14ac:dyDescent="0.15">
      <c r="B7" s="2" t="s">
        <v>49</v>
      </c>
      <c r="C7" s="2" t="e">
        <f>FIND(" ",乗換案内検索結果入力シート!$F$4,C6)</f>
        <v>#VALUE!</v>
      </c>
      <c r="D7" s="2" t="s">
        <v>50</v>
      </c>
      <c r="E7" s="2" t="e">
        <f>FIND("｜",乗換案内検索結果入力シート!$F$4,E6+1)</f>
        <v>#VALUE!</v>
      </c>
      <c r="F7" s="2" t="e">
        <f>MID(乗換案内検索結果入力シート!$F$4,E7+3,E8-E7-4)</f>
        <v>#VALUE!</v>
      </c>
      <c r="G7" s="2" t="s">
        <v>28</v>
      </c>
      <c r="H7" s="2" t="e">
        <f>MID(F6,LEN(H6)+4,FIND("km",F6,LEN(H6))-LEN(H6)-4)</f>
        <v>#VALUE!</v>
      </c>
    </row>
    <row r="8" spans="1:8" x14ac:dyDescent="0.15">
      <c r="A8" s="2">
        <v>2</v>
      </c>
      <c r="B8" s="5" t="s">
        <v>51</v>
      </c>
      <c r="C8" s="5" t="e">
        <f>MID(乗換案内検索結果入力シート!$F$4,C6+1,C7-C6-1)</f>
        <v>#VALUE!</v>
      </c>
      <c r="D8" s="2" t="s">
        <v>52</v>
      </c>
      <c r="E8" s="2" t="e">
        <f>FIND("｜",乗換案内検索結果入力シート!$F$4,E7+1)</f>
        <v>#VALUE!</v>
      </c>
      <c r="G8" s="2" t="s">
        <v>46</v>
      </c>
      <c r="H8" s="2" t="e">
        <f>MID(F7,FIND("［",F7)+1,FIND("］",F7)-FIND("［",F7)-2)</f>
        <v>#VALUE!</v>
      </c>
    </row>
    <row r="9" spans="1:8" x14ac:dyDescent="0.15">
      <c r="B9" s="2" t="s">
        <v>53</v>
      </c>
      <c r="C9" s="2" t="e">
        <f>FIND("◇",乗換案内検索結果入力シート!$F$4,C7)</f>
        <v>#VALUE!</v>
      </c>
      <c r="D9" s="2" t="s">
        <v>54</v>
      </c>
      <c r="E9" s="2" t="e">
        <f>FIND("｜",乗換案内検索結果入力シート!$F$4,FIND("◇"&amp;C11,乗換案内検索結果入力シート!$F$4))</f>
        <v>#VALUE!</v>
      </c>
      <c r="F9" s="2" t="e">
        <f>MID(乗換案内検索結果入力シート!$F$4,E9+3,E10-E9-4)</f>
        <v>#VALUE!</v>
      </c>
      <c r="G9" s="2" t="s">
        <v>41</v>
      </c>
      <c r="H9" s="2" t="e">
        <f t="shared" ref="H9" si="0">LEFT(F9,FIND(" ",F9)-1)</f>
        <v>#VALUE!</v>
      </c>
    </row>
    <row r="10" spans="1:8" x14ac:dyDescent="0.15">
      <c r="B10" s="2" t="s">
        <v>55</v>
      </c>
      <c r="C10" s="2" t="e">
        <f>FIND(" ",乗換案内検索結果入力シート!$F$4,C9)</f>
        <v>#VALUE!</v>
      </c>
      <c r="D10" s="2" t="s">
        <v>56</v>
      </c>
      <c r="E10" s="2" t="e">
        <f>FIND("｜",乗換案内検索結果入力シート!$F$4,E9+1)</f>
        <v>#VALUE!</v>
      </c>
      <c r="F10" s="2" t="e">
        <f>MID(乗換案内検索結果入力シート!$F$4,E10+3,E11-E10-4)</f>
        <v>#VALUE!</v>
      </c>
      <c r="G10" s="2" t="s">
        <v>28</v>
      </c>
      <c r="H10" s="2" t="e">
        <f t="shared" ref="H10" si="1">MID(F9,LEN(H9)+4,FIND("km",F9,LEN(H9))-LEN(H9)-4)</f>
        <v>#VALUE!</v>
      </c>
    </row>
    <row r="11" spans="1:8" x14ac:dyDescent="0.15">
      <c r="A11" s="2">
        <v>3</v>
      </c>
      <c r="B11" s="5" t="s">
        <v>57</v>
      </c>
      <c r="C11" s="5" t="e">
        <f>MID(乗換案内検索結果入力シート!$F$4,C9+1,C10-C9-1)</f>
        <v>#VALUE!</v>
      </c>
      <c r="D11" s="2" t="s">
        <v>58</v>
      </c>
      <c r="E11" s="2" t="e">
        <f>FIND("｜",乗換案内検索結果入力シート!$F$4,E10+1)</f>
        <v>#VALUE!</v>
      </c>
      <c r="G11" s="2" t="s">
        <v>46</v>
      </c>
      <c r="H11" s="2" t="e">
        <f t="shared" ref="H11" si="2">MID(F10,FIND("［",F10)+1,FIND("］",F10)-FIND("［",F10)-2)</f>
        <v>#VALUE!</v>
      </c>
    </row>
    <row r="12" spans="1:8" x14ac:dyDescent="0.15">
      <c r="B12" s="2" t="s">
        <v>59</v>
      </c>
      <c r="C12" s="2" t="e">
        <f>FIND("◇",乗換案内検索結果入力シート!$F$4,C10)</f>
        <v>#VALUE!</v>
      </c>
      <c r="D12" s="2" t="s">
        <v>60</v>
      </c>
      <c r="E12" s="2" t="e">
        <f>FIND("｜",乗換案内検索結果入力シート!$F$4,FIND("◇"&amp;C14,乗換案内検索結果入力シート!$F$4))</f>
        <v>#VALUE!</v>
      </c>
      <c r="F12" s="2" t="e">
        <f>MID(乗換案内検索結果入力シート!$F$4,E12+3,E13-E12-4)</f>
        <v>#VALUE!</v>
      </c>
      <c r="G12" s="2" t="s">
        <v>41</v>
      </c>
      <c r="H12" s="2" t="e">
        <f t="shared" ref="H12" si="3">LEFT(F12,FIND(" ",F12)-1)</f>
        <v>#VALUE!</v>
      </c>
    </row>
    <row r="13" spans="1:8" x14ac:dyDescent="0.15">
      <c r="B13" s="2" t="s">
        <v>61</v>
      </c>
      <c r="C13" s="2" t="e">
        <f>FIND(" ",乗換案内検索結果入力シート!$F$4,C12)</f>
        <v>#VALUE!</v>
      </c>
      <c r="D13" s="2" t="s">
        <v>62</v>
      </c>
      <c r="E13" s="2" t="e">
        <f>FIND("｜",乗換案内検索結果入力シート!$F$4,E12+1)</f>
        <v>#VALUE!</v>
      </c>
      <c r="F13" s="2" t="e">
        <f>MID(乗換案内検索結果入力シート!$F$4,E13+3,E14-E13-4)</f>
        <v>#VALUE!</v>
      </c>
      <c r="G13" s="2" t="s">
        <v>28</v>
      </c>
      <c r="H13" s="2" t="e">
        <f t="shared" ref="H13" si="4">MID(F12,LEN(H12)+4,FIND("km",F12,LEN(H12))-LEN(H12)-4)</f>
        <v>#VALUE!</v>
      </c>
    </row>
    <row r="14" spans="1:8" x14ac:dyDescent="0.15">
      <c r="A14" s="2">
        <v>4</v>
      </c>
      <c r="B14" s="5" t="s">
        <v>63</v>
      </c>
      <c r="C14" s="5" t="e">
        <f>MID(乗換案内検索結果入力シート!$F$4,C12+1,C13-C12-1)</f>
        <v>#VALUE!</v>
      </c>
      <c r="D14" s="2" t="s">
        <v>64</v>
      </c>
      <c r="E14" s="2" t="e">
        <f>FIND("｜",乗換案内検索結果入力シート!$F$4,E13+1)</f>
        <v>#VALUE!</v>
      </c>
      <c r="G14" s="2" t="s">
        <v>46</v>
      </c>
      <c r="H14" s="2" t="e">
        <f t="shared" ref="H14" si="5">MID(F13,FIND("［",F13)+1,FIND("］",F13)-FIND("［",F13)-2)</f>
        <v>#VALUE!</v>
      </c>
    </row>
    <row r="15" spans="1:8" x14ac:dyDescent="0.15">
      <c r="B15" s="2" t="s">
        <v>65</v>
      </c>
      <c r="C15" s="2" t="e">
        <f>FIND("◇",乗換案内検索結果入力シート!$F$4,C13)</f>
        <v>#VALUE!</v>
      </c>
      <c r="D15" s="2" t="s">
        <v>66</v>
      </c>
      <c r="E15" s="2" t="e">
        <f>FIND("｜",乗換案内検索結果入力シート!$F$4,FIND("◇"&amp;C17,乗換案内検索結果入力シート!$F$4))</f>
        <v>#VALUE!</v>
      </c>
      <c r="F15" s="2" t="e">
        <f>MID(乗換案内検索結果入力シート!$F$4,E15+3,E16-E15-4)</f>
        <v>#VALUE!</v>
      </c>
      <c r="G15" s="2" t="s">
        <v>41</v>
      </c>
      <c r="H15" s="2" t="e">
        <f t="shared" ref="H15" si="6">LEFT(F15,FIND(" ",F15)-1)</f>
        <v>#VALUE!</v>
      </c>
    </row>
    <row r="16" spans="1:8" x14ac:dyDescent="0.15">
      <c r="B16" s="2" t="s">
        <v>67</v>
      </c>
      <c r="C16" s="2" t="e">
        <f>FIND(" ",乗換案内検索結果入力シート!$F$4,C15)</f>
        <v>#VALUE!</v>
      </c>
      <c r="D16" s="2" t="s">
        <v>68</v>
      </c>
      <c r="E16" s="2" t="e">
        <f>FIND("｜",乗換案内検索結果入力シート!$F$4,E15+1)</f>
        <v>#VALUE!</v>
      </c>
      <c r="F16" s="2" t="e">
        <f>MID(乗換案内検索結果入力シート!$F$4,E16+3,E17-E16-4)</f>
        <v>#VALUE!</v>
      </c>
      <c r="G16" s="2" t="s">
        <v>28</v>
      </c>
      <c r="H16" s="2" t="e">
        <f t="shared" ref="H16" si="7">MID(F15,LEN(H15)+4,FIND("km",F15,LEN(H15))-LEN(H15)-4)</f>
        <v>#VALUE!</v>
      </c>
    </row>
    <row r="17" spans="1:8" x14ac:dyDescent="0.15">
      <c r="A17" s="2">
        <v>5</v>
      </c>
      <c r="B17" s="5" t="s">
        <v>69</v>
      </c>
      <c r="C17" s="5" t="e">
        <f>MID(乗換案内検索結果入力シート!$F$4,C15+1,C16-C15-1)</f>
        <v>#VALUE!</v>
      </c>
      <c r="D17" s="2" t="s">
        <v>70</v>
      </c>
      <c r="E17" s="2" t="e">
        <f>FIND("｜",乗換案内検索結果入力シート!$F$4,E16+1)</f>
        <v>#VALUE!</v>
      </c>
      <c r="G17" s="2" t="s">
        <v>46</v>
      </c>
      <c r="H17" s="2" t="e">
        <f t="shared" ref="H17" si="8">MID(F16,FIND("［",F16)+1,FIND("］",F16)-FIND("［",F16)-2)</f>
        <v>#VALUE!</v>
      </c>
    </row>
    <row r="18" spans="1:8" x14ac:dyDescent="0.15">
      <c r="B18" s="2" t="s">
        <v>71</v>
      </c>
      <c r="C18" s="2" t="e">
        <f>FIND("◇",乗換案内検索結果入力シート!$F$4,C16)</f>
        <v>#VALUE!</v>
      </c>
      <c r="D18" s="2" t="s">
        <v>72</v>
      </c>
      <c r="E18" s="2" t="e">
        <f>FIND("｜",乗換案内検索結果入力シート!$F$4,FIND("◇"&amp;C20,乗換案内検索結果入力シート!$F$4))</f>
        <v>#VALUE!</v>
      </c>
      <c r="F18" s="2" t="e">
        <f>MID(乗換案内検索結果入力シート!$F$4,E18+3,E19-E18-4)</f>
        <v>#VALUE!</v>
      </c>
      <c r="G18" s="2" t="s">
        <v>41</v>
      </c>
      <c r="H18" s="2" t="e">
        <f t="shared" ref="H18" si="9">LEFT(F18,FIND(" ",F18)-1)</f>
        <v>#VALUE!</v>
      </c>
    </row>
    <row r="19" spans="1:8" x14ac:dyDescent="0.15">
      <c r="B19" s="2" t="s">
        <v>73</v>
      </c>
      <c r="C19" s="2" t="e">
        <f>FIND(" ",乗換案内検索結果入力シート!$F$4,C18)</f>
        <v>#VALUE!</v>
      </c>
      <c r="D19" s="2" t="s">
        <v>74</v>
      </c>
      <c r="E19" s="2" t="e">
        <f>FIND("｜",乗換案内検索結果入力シート!$F$4,E18+1)</f>
        <v>#VALUE!</v>
      </c>
      <c r="F19" s="2" t="e">
        <f>MID(乗換案内検索結果入力シート!$F$4,E19+3,E20-E19-4)</f>
        <v>#VALUE!</v>
      </c>
      <c r="G19" s="2" t="s">
        <v>28</v>
      </c>
      <c r="H19" s="2" t="e">
        <f t="shared" ref="H19" si="10">MID(F18,LEN(H18)+4,FIND("km",F18,LEN(H18))-LEN(H18)-4)</f>
        <v>#VALUE!</v>
      </c>
    </row>
    <row r="20" spans="1:8" x14ac:dyDescent="0.15">
      <c r="A20" s="2">
        <v>6</v>
      </c>
      <c r="B20" s="5" t="s">
        <v>75</v>
      </c>
      <c r="C20" s="5" t="e">
        <f>MID(乗換案内検索結果入力シート!$F$4,C18+1,C19-C18-1)</f>
        <v>#VALUE!</v>
      </c>
      <c r="D20" s="2" t="s">
        <v>76</v>
      </c>
      <c r="E20" s="2" t="e">
        <f>FIND("｜",乗換案内検索結果入力シート!$F$4,E19+1)</f>
        <v>#VALUE!</v>
      </c>
      <c r="G20" s="2" t="s">
        <v>46</v>
      </c>
      <c r="H20" s="2" t="e">
        <f t="shared" ref="H20" si="11">MID(F19,FIND("［",F19)+1,FIND("］",F19)-FIND("［",F19)-2)</f>
        <v>#VALUE!</v>
      </c>
    </row>
    <row r="21" spans="1:8" x14ac:dyDescent="0.15">
      <c r="B21" s="2" t="s">
        <v>77</v>
      </c>
      <c r="C21" s="2" t="e">
        <f>FIND("◇",乗換案内検索結果入力シート!$F$4,C19)</f>
        <v>#VALUE!</v>
      </c>
      <c r="D21" s="2" t="s">
        <v>78</v>
      </c>
      <c r="E21" s="2" t="e">
        <f>FIND("｜",乗換案内検索結果入力シート!$F$4,FIND("◇"&amp;C23,乗換案内検索結果入力シート!$F$4))</f>
        <v>#VALUE!</v>
      </c>
      <c r="F21" s="2" t="e">
        <f>MID(乗換案内検索結果入力シート!$F$4,E21+3,E22-E21-4)</f>
        <v>#VALUE!</v>
      </c>
      <c r="G21" s="2" t="s">
        <v>41</v>
      </c>
      <c r="H21" s="2" t="e">
        <f t="shared" ref="H21" si="12">LEFT(F21,FIND(" ",F21)-1)</f>
        <v>#VALUE!</v>
      </c>
    </row>
    <row r="22" spans="1:8" x14ac:dyDescent="0.15">
      <c r="B22" s="2" t="s">
        <v>79</v>
      </c>
      <c r="C22" s="2" t="e">
        <f>FIND(" ",乗換案内検索結果入力シート!$F$4,C21)</f>
        <v>#VALUE!</v>
      </c>
      <c r="D22" s="2" t="s">
        <v>80</v>
      </c>
      <c r="E22" s="2" t="e">
        <f>FIND("｜",乗換案内検索結果入力シート!$F$4,E21+1)</f>
        <v>#VALUE!</v>
      </c>
      <c r="F22" s="2" t="e">
        <f>MID(乗換案内検索結果入力シート!$F$4,E22+3,E23-E22-4)</f>
        <v>#VALUE!</v>
      </c>
      <c r="G22" s="2" t="s">
        <v>28</v>
      </c>
      <c r="H22" s="2" t="e">
        <f t="shared" ref="H22" si="13">MID(F21,LEN(H21)+4,FIND("km",F21,LEN(H21))-LEN(H21)-4)</f>
        <v>#VALUE!</v>
      </c>
    </row>
    <row r="23" spans="1:8" x14ac:dyDescent="0.15">
      <c r="A23" s="2">
        <v>7</v>
      </c>
      <c r="B23" s="5" t="s">
        <v>81</v>
      </c>
      <c r="C23" s="5" t="e">
        <f>MID(乗換案内検索結果入力シート!$F$4,C21+1,C22-C21-1)</f>
        <v>#VALUE!</v>
      </c>
      <c r="D23" s="2" t="s">
        <v>82</v>
      </c>
      <c r="E23" s="2" t="e">
        <f>FIND("｜",乗換案内検索結果入力シート!$F$4,E22+1)</f>
        <v>#VALUE!</v>
      </c>
      <c r="G23" s="2" t="s">
        <v>46</v>
      </c>
      <c r="H23" s="2" t="e">
        <f t="shared" ref="H23" si="14">MID(F22,FIND("［",F22)+1,FIND("］",F22)-FIND("［",F22)-2)</f>
        <v>#VALUE!</v>
      </c>
    </row>
    <row r="24" spans="1:8" x14ac:dyDescent="0.15">
      <c r="B24" s="2" t="s">
        <v>83</v>
      </c>
      <c r="C24" s="2" t="e">
        <f>FIND("◇",乗換案内検索結果入力シート!$F$4,C22)</f>
        <v>#VALUE!</v>
      </c>
      <c r="D24" s="2" t="s">
        <v>84</v>
      </c>
      <c r="E24" s="2" t="e">
        <f>FIND("｜",乗換案内検索結果入力シート!$F$4,FIND("◇"&amp;C26,乗換案内検索結果入力シート!$F$4))</f>
        <v>#VALUE!</v>
      </c>
      <c r="F24" s="2" t="e">
        <f>MID(乗換案内検索結果入力シート!$F$4,E24+3,E25-E24-4)</f>
        <v>#VALUE!</v>
      </c>
      <c r="G24" s="2" t="s">
        <v>41</v>
      </c>
      <c r="H24" s="2" t="e">
        <f t="shared" ref="H24" si="15">LEFT(F24,FIND(" ",F24)-1)</f>
        <v>#VALUE!</v>
      </c>
    </row>
    <row r="25" spans="1:8" x14ac:dyDescent="0.15">
      <c r="B25" s="2" t="s">
        <v>85</v>
      </c>
      <c r="C25" s="2" t="e">
        <f>FIND(" ",乗換案内検索結果入力シート!$F$4,C24)</f>
        <v>#VALUE!</v>
      </c>
      <c r="D25" s="2" t="s">
        <v>86</v>
      </c>
      <c r="E25" s="2" t="e">
        <f>FIND("｜",乗換案内検索結果入力シート!$F$4,E24+1)</f>
        <v>#VALUE!</v>
      </c>
      <c r="F25" s="2" t="e">
        <f>MID(乗換案内検索結果入力シート!$F$4,E25+3,E26-E25-4)</f>
        <v>#VALUE!</v>
      </c>
      <c r="G25" s="2" t="s">
        <v>28</v>
      </c>
      <c r="H25" s="2" t="e">
        <f t="shared" ref="H25" si="16">MID(F24,LEN(H24)+4,FIND("km",F24,LEN(H24))-LEN(H24)-4)</f>
        <v>#VALUE!</v>
      </c>
    </row>
    <row r="26" spans="1:8" x14ac:dyDescent="0.15">
      <c r="A26" s="2">
        <v>8</v>
      </c>
      <c r="B26" s="5" t="s">
        <v>87</v>
      </c>
      <c r="C26" s="5" t="e">
        <f>MID(乗換案内検索結果入力シート!$F$4,C24+1,C25-C24-1)</f>
        <v>#VALUE!</v>
      </c>
      <c r="D26" s="2" t="s">
        <v>88</v>
      </c>
      <c r="E26" s="2" t="e">
        <f>FIND("｜",乗換案内検索結果入力シート!$F$4,E25+1)</f>
        <v>#VALUE!</v>
      </c>
      <c r="G26" s="2" t="s">
        <v>46</v>
      </c>
      <c r="H26" s="2" t="e">
        <f t="shared" ref="H26" si="17">MID(F25,FIND("［",F25)+1,FIND("］",F25)-FIND("［",F25)-2)</f>
        <v>#VALUE!</v>
      </c>
    </row>
    <row r="27" spans="1:8" x14ac:dyDescent="0.15">
      <c r="B27" s="2" t="s">
        <v>89</v>
      </c>
      <c r="C27" s="2" t="e">
        <f>FIND("◇",乗換案内検索結果入力シート!$F$4,C25)</f>
        <v>#VALUE!</v>
      </c>
      <c r="D27" s="2" t="s">
        <v>90</v>
      </c>
      <c r="E27" s="2" t="e">
        <f>FIND("｜",乗換案内検索結果入力シート!$F$4,FIND("◇"&amp;C29,乗換案内検索結果入力シート!$F$4))</f>
        <v>#VALUE!</v>
      </c>
      <c r="F27" s="2" t="e">
        <f>MID(乗換案内検索結果入力シート!$F$4,E27+3,E28-E27-4)</f>
        <v>#VALUE!</v>
      </c>
      <c r="G27" s="2" t="s">
        <v>41</v>
      </c>
      <c r="H27" s="2" t="e">
        <f t="shared" ref="H27" si="18">LEFT(F27,FIND(" ",F27)-1)</f>
        <v>#VALUE!</v>
      </c>
    </row>
    <row r="28" spans="1:8" x14ac:dyDescent="0.15">
      <c r="B28" s="2" t="s">
        <v>91</v>
      </c>
      <c r="C28" s="2" t="e">
        <f>FIND(" ",乗換案内検索結果入力シート!$F$4,C27)</f>
        <v>#VALUE!</v>
      </c>
      <c r="D28" s="2" t="s">
        <v>92</v>
      </c>
      <c r="E28" s="2" t="e">
        <f>FIND("｜",乗換案内検索結果入力シート!$F$4,E27+1)</f>
        <v>#VALUE!</v>
      </c>
      <c r="F28" s="2" t="e">
        <f>MID(乗換案内検索結果入力シート!$F$4,E28+3,E29-E28-4)</f>
        <v>#VALUE!</v>
      </c>
      <c r="G28" s="2" t="s">
        <v>28</v>
      </c>
      <c r="H28" s="2" t="e">
        <f t="shared" ref="H28" si="19">MID(F27,LEN(H27)+4,FIND("km",F27,LEN(H27))-LEN(H27)-4)</f>
        <v>#VALUE!</v>
      </c>
    </row>
    <row r="29" spans="1:8" x14ac:dyDescent="0.15">
      <c r="A29" s="2">
        <v>9</v>
      </c>
      <c r="B29" s="5" t="s">
        <v>93</v>
      </c>
      <c r="C29" s="5" t="e">
        <f>MID(乗換案内検索結果入力シート!$F$4,C27+1,C28-C27-1)</f>
        <v>#VALUE!</v>
      </c>
      <c r="D29" s="2" t="s">
        <v>94</v>
      </c>
      <c r="E29" s="2" t="e">
        <f>FIND("｜",乗換案内検索結果入力シート!$F$4,E28+1)</f>
        <v>#VALUE!</v>
      </c>
      <c r="G29" s="2" t="s">
        <v>46</v>
      </c>
      <c r="H29" s="2" t="e">
        <f t="shared" ref="H29" si="20">MID(F28,FIND("［",F28)+1,FIND("］",F28)-FIND("［",F28)-2)</f>
        <v>#VALUE!</v>
      </c>
    </row>
    <row r="30" spans="1:8" x14ac:dyDescent="0.15">
      <c r="B30" s="2" t="s">
        <v>95</v>
      </c>
      <c r="C30" s="2" t="e">
        <f>FIND("■",乗換案内検索結果入力シート!$F$4,C3+1)</f>
        <v>#VALUE!</v>
      </c>
      <c r="D30" s="2" t="s">
        <v>96</v>
      </c>
      <c r="E30" s="2" t="e">
        <f>FIND("｜",乗換案内検索結果入力シート!$F$4,FIND("◇"&amp;C32,乗換案内検索結果入力シート!$F$4))</f>
        <v>#VALUE!</v>
      </c>
      <c r="F30" s="2" t="e">
        <f>MID(乗換案内検索結果入力シート!$F$4,E30+3,E31-E30-4)</f>
        <v>#VALUE!</v>
      </c>
      <c r="G30" s="2" t="s">
        <v>41</v>
      </c>
      <c r="H30" s="2" t="e">
        <f t="shared" ref="H30" si="21">LEFT(F30,FIND(" ",F30)-1)</f>
        <v>#VALUE!</v>
      </c>
    </row>
    <row r="31" spans="1:8" x14ac:dyDescent="0.15">
      <c r="B31" s="2" t="s">
        <v>97</v>
      </c>
      <c r="C31" s="2" t="e">
        <f>IFERROR(FIND(" ",乗換案内検索結果入力シート!$F$4,C30),IF(LEN(乗換案内検索結果入力シート!$F$4)=0,#VALUE!,LEN(乗換案内検索結果入力シート!$F$4)+1))</f>
        <v>#VALUE!</v>
      </c>
      <c r="D31" s="2" t="s">
        <v>98</v>
      </c>
      <c r="E31" s="2" t="e">
        <f>FIND("｜",乗換案内検索結果入力シート!$F$4,E30+1)</f>
        <v>#VALUE!</v>
      </c>
      <c r="F31" s="2" t="e">
        <f>MID(乗換案内検索結果入力シート!$F$4,E31+3,E32-E31-4)</f>
        <v>#VALUE!</v>
      </c>
      <c r="G31" s="2" t="s">
        <v>28</v>
      </c>
      <c r="H31" s="2" t="e">
        <f t="shared" ref="H31" si="22">MID(F30,LEN(H30)+4,FIND("km",F30,LEN(H30))-LEN(H30)-4)</f>
        <v>#VALUE!</v>
      </c>
    </row>
    <row r="32" spans="1:8" x14ac:dyDescent="0.15">
      <c r="A32" s="2">
        <v>10</v>
      </c>
      <c r="B32" s="3" t="s">
        <v>99</v>
      </c>
      <c r="C32" s="3" t="e">
        <f>IF(ISERROR(C31),MID(乗換案内検索結果入力シート!$F$4,C30+1,100),MID(乗換案内検索結果入力シート!$F$4,C30+1,C31-C30-1))</f>
        <v>#VALUE!</v>
      </c>
      <c r="D32" s="2" t="s">
        <v>100</v>
      </c>
      <c r="E32" s="2" t="e">
        <f>FIND("｜",乗換案内検索結果入力シート!$F$4,E31+1)</f>
        <v>#VALUE!</v>
      </c>
      <c r="G32" s="2" t="s">
        <v>46</v>
      </c>
      <c r="H32" s="2" t="e">
        <f t="shared" ref="H32" si="23">MID(F31,FIND("［",F31)+1,FIND("］",F31)-FIND("［",F31)-2)</f>
        <v>#VALUE!</v>
      </c>
    </row>
  </sheetData>
  <phoneticPr fontId="8"/>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0" tint="-0.499984740745262"/>
    <pageSetUpPr fitToPage="1"/>
  </sheetPr>
  <dimension ref="A1:J32"/>
  <sheetViews>
    <sheetView zoomScale="85" zoomScaleNormal="85" workbookViewId="0"/>
  </sheetViews>
  <sheetFormatPr defaultColWidth="10" defaultRowHeight="13.5" x14ac:dyDescent="0.15"/>
  <cols>
    <col min="1" max="1" width="4.25" style="2" customWidth="1"/>
    <col min="2" max="2" width="14.5" style="2" customWidth="1"/>
    <col min="3" max="3" width="7.625" style="2" customWidth="1"/>
    <col min="4" max="4" width="6.125" style="2" customWidth="1"/>
    <col min="5" max="5" width="14.5" style="2" customWidth="1"/>
    <col min="6" max="6" width="27.5" style="2" customWidth="1"/>
    <col min="7" max="7" width="17.75" style="2" customWidth="1"/>
    <col min="8" max="8" width="43.25" style="2" customWidth="1"/>
    <col min="9" max="10" width="10.5" style="2" customWidth="1"/>
    <col min="11" max="16384" width="10" style="2"/>
  </cols>
  <sheetData>
    <row r="1" spans="1:10" x14ac:dyDescent="0.15">
      <c r="B1" s="2" t="s">
        <v>101</v>
      </c>
      <c r="C1" s="2">
        <f>経路検索1F!C1+経路検索2F!C1+経路検索3F!C1</f>
        <v>0</v>
      </c>
    </row>
    <row r="2" spans="1:10" x14ac:dyDescent="0.15">
      <c r="A2" s="2" t="s">
        <v>102</v>
      </c>
      <c r="B2" s="2" t="s">
        <v>103</v>
      </c>
      <c r="C2" s="2" t="s">
        <v>104</v>
      </c>
      <c r="D2" s="2" t="s">
        <v>105</v>
      </c>
      <c r="E2" s="2" t="s">
        <v>106</v>
      </c>
      <c r="F2" s="2" t="s">
        <v>107</v>
      </c>
      <c r="G2" s="2" t="s">
        <v>25</v>
      </c>
      <c r="H2" s="2" t="s">
        <v>108</v>
      </c>
      <c r="I2" s="2" t="s">
        <v>28</v>
      </c>
      <c r="J2" s="2" t="s">
        <v>46</v>
      </c>
    </row>
    <row r="3" spans="1:10" ht="37.5" customHeight="1" x14ac:dyDescent="0.15">
      <c r="A3" s="2">
        <v>1</v>
      </c>
      <c r="B3" s="2">
        <f>IF(経路検索F!$A3&lt;=経路検索1F!$C$1,"経路検索1F",IF($A3-(経路検索1F!$C$1)&lt;=経路検索2F!$C$1,"経路検索2F",IF($A3-(経路検索1F!$C$1)-(経路検索2F!$C$1)&lt;=経路検索3F!$C$1,"経路検索3F",0)))</f>
        <v>0</v>
      </c>
      <c r="C3" s="2">
        <f>COUNTIF($B$3:B3,B3)</f>
        <v>1</v>
      </c>
      <c r="D3" s="2">
        <f t="shared" ref="D3:D22" si="0">COUNTIF($B$3:$B$30,B3)</f>
        <v>20</v>
      </c>
      <c r="E3" s="2" t="e">
        <f ca="1">MATCH(IF(C3=D3,10,C3),INDIRECT(B3&amp;"!A1:A32"),0)</f>
        <v>#REF!</v>
      </c>
      <c r="F3" s="6" t="e">
        <f t="array" aca="1" ref="F3" ca="1">OFFSET(INDIRECT($B3&amp;"!A1"),$E3-1,2)</f>
        <v>#REF!</v>
      </c>
      <c r="G3" s="6" t="e">
        <f ca="1">F3&amp;"-"&amp;F4</f>
        <v>#REF!</v>
      </c>
      <c r="H3" s="6" t="e">
        <f ca="1">OFFSET(INDIRECT($B3&amp;"!A1"),$E3-3,7)</f>
        <v>#REF!</v>
      </c>
      <c r="I3" s="6" t="e">
        <f t="array" aca="1" ref="I3" ca="1">OFFSET(INDIRECT($B3&amp;"!A1"),$E3-2,7)</f>
        <v>#REF!</v>
      </c>
      <c r="J3" s="6" t="e">
        <f t="array" aca="1" ref="J3" ca="1">OFFSET(INDIRECT($B3&amp;"!A1"),$E3-1,7)</f>
        <v>#REF!</v>
      </c>
    </row>
    <row r="4" spans="1:10" x14ac:dyDescent="0.15">
      <c r="A4" s="2">
        <v>2</v>
      </c>
      <c r="B4" s="2">
        <f>IF(経路検索F!$A4&lt;=経路検索1F!$C$1,"経路検索1F",IF($A4-(経路検索1F!$C$1)&lt;=経路検索2F!$C$1,"経路検索2F",IF($A4-(経路検索1F!$C$1)-(経路検索2F!$C$1)&lt;=経路検索3F!$C$1,"経路検索3F",0)))</f>
        <v>0</v>
      </c>
      <c r="C4" s="2">
        <f>COUNTIF($B$3:B4,B4)</f>
        <v>2</v>
      </c>
      <c r="D4" s="2">
        <f t="shared" si="0"/>
        <v>20</v>
      </c>
      <c r="E4" s="2" t="e">
        <f t="shared" ref="E4:E6" ca="1" si="1">MATCH(IF(C4=D4,10,C4),INDIRECT(B4&amp;"!A1:A32"),0)</f>
        <v>#REF!</v>
      </c>
      <c r="F4" s="6" t="e">
        <f t="array" aca="1" ref="F4" ca="1">OFFSET(INDIRECT($B4&amp;"!A1"),$E4-1,2)</f>
        <v>#REF!</v>
      </c>
      <c r="G4" s="6" t="e">
        <f t="shared" ref="G4" ca="1" si="2">F4&amp;"-"&amp;F5</f>
        <v>#REF!</v>
      </c>
      <c r="H4" s="6" t="e">
        <f t="array" aca="1" ref="H4" ca="1">OFFSET(INDIRECT($B4&amp;"!A1"),$E4-3,7)</f>
        <v>#REF!</v>
      </c>
      <c r="I4" s="6" t="e">
        <f t="array" aca="1" ref="I4" ca="1">OFFSET(INDIRECT($B4&amp;"!A1"),$E4-2,7)</f>
        <v>#REF!</v>
      </c>
      <c r="J4" s="6" t="e">
        <f t="array" aca="1" ref="J4" ca="1">OFFSET(INDIRECT($B4&amp;"!A1"),$E4-1,7)</f>
        <v>#REF!</v>
      </c>
    </row>
    <row r="5" spans="1:10" x14ac:dyDescent="0.15">
      <c r="A5" s="2">
        <v>3</v>
      </c>
      <c r="B5" s="2">
        <f>IF(経路検索F!$A5&lt;=経路検索1F!$C$1,"経路検索1F",IF($A5-(経路検索1F!$C$1)&lt;=経路検索2F!$C$1,"経路検索2F",IF($A5-(経路検索1F!$C$1)-(経路検索2F!$C$1)&lt;=経路検索3F!$C$1,"経路検索3F",0)))</f>
        <v>0</v>
      </c>
      <c r="C5" s="2">
        <f>COUNTIF($B$3:B5,B5)</f>
        <v>3</v>
      </c>
      <c r="D5" s="2">
        <f t="shared" si="0"/>
        <v>20</v>
      </c>
      <c r="E5" s="2" t="e">
        <f t="shared" ca="1" si="1"/>
        <v>#REF!</v>
      </c>
      <c r="F5" s="6" t="e">
        <f t="array" aca="1" ref="F5" ca="1">OFFSET(INDIRECT($B5&amp;"!A1"),$E5-1,2)</f>
        <v>#REF!</v>
      </c>
      <c r="G5" s="6" t="e">
        <f ca="1">F5&amp;"-"&amp;F6</f>
        <v>#REF!</v>
      </c>
      <c r="H5" s="6" t="e">
        <f t="array" aca="1" ref="H5" ca="1">OFFSET(INDIRECT($B5&amp;"!A1"),$E5-3,7)</f>
        <v>#REF!</v>
      </c>
      <c r="I5" s="6" t="e">
        <f t="array" aca="1" ref="I5" ca="1">OFFSET(INDIRECT($B5&amp;"!A1"),$E5-2,7)</f>
        <v>#REF!</v>
      </c>
      <c r="J5" s="6" t="e">
        <f t="array" aca="1" ref="J5" ca="1">OFFSET(INDIRECT($B5&amp;"!A1"),$E5-1,7)</f>
        <v>#REF!</v>
      </c>
    </row>
    <row r="6" spans="1:10" x14ac:dyDescent="0.15">
      <c r="A6" s="2">
        <v>4</v>
      </c>
      <c r="B6" s="2">
        <f>IF(経路検索F!$A6&lt;=経路検索1F!$C$1,"経路検索1F",IF($A6-(経路検索1F!$C$1)&lt;=経路検索2F!$C$1,"経路検索2F",IF($A6-(経路検索1F!$C$1)-(経路検索2F!$C$1)&lt;=経路検索3F!$C$1,"経路検索3F",0)))</f>
        <v>0</v>
      </c>
      <c r="C6" s="2">
        <f>COUNTIF($B$3:B6,B6)</f>
        <v>4</v>
      </c>
      <c r="D6" s="2">
        <f t="shared" si="0"/>
        <v>20</v>
      </c>
      <c r="E6" s="2" t="e">
        <f t="shared" ca="1" si="1"/>
        <v>#REF!</v>
      </c>
      <c r="F6" s="6" t="e">
        <f t="array" aca="1" ref="F6" ca="1">OFFSET(INDIRECT($B6&amp;"!A1"),$E6-1,2)</f>
        <v>#REF!</v>
      </c>
      <c r="G6" s="6" t="e">
        <f ca="1">F6&amp;"-"&amp;F7</f>
        <v>#REF!</v>
      </c>
      <c r="H6" s="6" t="e">
        <f t="array" aca="1" ref="H6" ca="1">OFFSET(INDIRECT($B6&amp;"!A1"),$E6-3,7)</f>
        <v>#REF!</v>
      </c>
      <c r="I6" s="6" t="e">
        <f t="array" aca="1" ref="I6" ca="1">OFFSET(INDIRECT($B6&amp;"!A1"),$E6-2,7)</f>
        <v>#REF!</v>
      </c>
      <c r="J6" s="6" t="e">
        <f t="array" aca="1" ref="J6" ca="1">OFFSET(INDIRECT($B6&amp;"!A1"),$E6-1,7)</f>
        <v>#REF!</v>
      </c>
    </row>
    <row r="7" spans="1:10" x14ac:dyDescent="0.15">
      <c r="A7" s="2">
        <v>5</v>
      </c>
      <c r="B7" s="2">
        <f>IF(経路検索F!$A7&lt;=経路検索1F!$C$1,"経路検索1F",IF($A7-(経路検索1F!$C$1)&lt;=経路検索2F!$C$1,"経路検索2F",IF($A7-(経路検索1F!$C$1)-(経路検索2F!$C$1)&lt;=経路検索3F!$C$1,"経路検索3F",0)))</f>
        <v>0</v>
      </c>
      <c r="C7" s="2">
        <f>COUNTIF($B$3:B7,B7)</f>
        <v>5</v>
      </c>
      <c r="D7" s="2">
        <f t="shared" si="0"/>
        <v>20</v>
      </c>
      <c r="E7" s="2" t="e">
        <f ca="1">MATCH(IF(C7=D7,10,C7),INDIRECT(B7&amp;"!A1:A32"),0)</f>
        <v>#REF!</v>
      </c>
      <c r="F7" s="6" t="e">
        <f t="array" aca="1" ref="F7" ca="1">OFFSET(INDIRECT($B7&amp;"!A1"),$E7-1,2)</f>
        <v>#REF!</v>
      </c>
      <c r="G7" s="6" t="e">
        <f ca="1">F7&amp;"-"&amp;F8</f>
        <v>#REF!</v>
      </c>
      <c r="H7" s="6" t="e">
        <f t="array" aca="1" ref="H7" ca="1">OFFSET(INDIRECT($B7&amp;"!A1"),$E7-3,7)</f>
        <v>#REF!</v>
      </c>
      <c r="I7" s="6" t="e">
        <f t="array" aca="1" ref="I7" ca="1">OFFSET(INDIRECT($B7&amp;"!A1"),$E7-2,7)</f>
        <v>#REF!</v>
      </c>
      <c r="J7" s="6" t="e">
        <f t="array" aca="1" ref="J7" ca="1">OFFSET(INDIRECT($B7&amp;"!A1"),$E7-1,7)</f>
        <v>#REF!</v>
      </c>
    </row>
    <row r="8" spans="1:10" x14ac:dyDescent="0.15">
      <c r="A8" s="2">
        <v>6</v>
      </c>
      <c r="B8" s="2">
        <f>IF(経路検索F!$A8&lt;=経路検索1F!$C$1,"経路検索1F",IF($A8-(経路検索1F!$C$1)&lt;=経路検索2F!$C$1,"経路検索2F",IF($A8-(経路検索1F!$C$1)-(経路検索2F!$C$1)&lt;=経路検索3F!$C$1,"経路検索3F",0)))</f>
        <v>0</v>
      </c>
      <c r="C8" s="2">
        <f>COUNTIF($B$3:B8,B8)</f>
        <v>6</v>
      </c>
      <c r="D8" s="2">
        <f t="shared" si="0"/>
        <v>20</v>
      </c>
      <c r="E8" s="2" t="e">
        <f ca="1">MATCH(IF(C8=D8,10,C8),INDIRECT(B8&amp;"!A1:A32"),0)</f>
        <v>#REF!</v>
      </c>
      <c r="F8" s="6" t="e">
        <f t="array" aca="1" ref="F8" ca="1">OFFSET(INDIRECT($B8&amp;"!A1"),$E8-1,2)</f>
        <v>#REF!</v>
      </c>
      <c r="G8" s="6" t="e">
        <f t="shared" ref="G8:G12" ca="1" si="3">F8&amp;"-"&amp;F9</f>
        <v>#REF!</v>
      </c>
      <c r="H8" s="6" t="e">
        <f t="array" aca="1" ref="H8" ca="1">OFFSET(INDIRECT($B8&amp;"!A1"),$E8-3,7)</f>
        <v>#REF!</v>
      </c>
      <c r="I8" s="6" t="e">
        <f t="array" aca="1" ref="I8" ca="1">OFFSET(INDIRECT($B8&amp;"!A1"),$E8-2,7)</f>
        <v>#REF!</v>
      </c>
      <c r="J8" s="6" t="e">
        <f t="array" aca="1" ref="J8" ca="1">OFFSET(INDIRECT($B8&amp;"!A1"),$E8-1,7)</f>
        <v>#REF!</v>
      </c>
    </row>
    <row r="9" spans="1:10" x14ac:dyDescent="0.15">
      <c r="A9" s="2">
        <v>7</v>
      </c>
      <c r="B9" s="2">
        <f>IF(経路検索F!$A9&lt;=経路検索1F!$C$1,"経路検索1F",IF($A9-(経路検索1F!$C$1)&lt;=経路検索2F!$C$1,"経路検索2F",IF($A9-(経路検索1F!$C$1)-(経路検索2F!$C$1)&lt;=経路検索3F!$C$1,"経路検索3F",0)))</f>
        <v>0</v>
      </c>
      <c r="C9" s="2">
        <f>COUNTIF($B$3:B9,B9)</f>
        <v>7</v>
      </c>
      <c r="D9" s="2">
        <f t="shared" si="0"/>
        <v>20</v>
      </c>
      <c r="E9" s="2" t="e">
        <f ca="1">MATCH(IF(C9=D9,10,C9),INDIRECT(B9&amp;"!A1:A32"),0)</f>
        <v>#REF!</v>
      </c>
      <c r="F9" s="6" t="e">
        <f t="array" aca="1" ref="F9" ca="1">OFFSET(INDIRECT($B9&amp;"!A1"),$E9-1,2)</f>
        <v>#REF!</v>
      </c>
      <c r="G9" s="6" t="e">
        <f t="shared" ca="1" si="3"/>
        <v>#REF!</v>
      </c>
      <c r="H9" s="6" t="e">
        <f t="array" aca="1" ref="H9" ca="1">OFFSET(INDIRECT($B9&amp;"!A1"),$E9-3,7)</f>
        <v>#REF!</v>
      </c>
      <c r="I9" s="6" t="e">
        <f t="array" aca="1" ref="I9" ca="1">OFFSET(INDIRECT($B9&amp;"!A1"),$E9-2,7)</f>
        <v>#REF!</v>
      </c>
      <c r="J9" s="6" t="e">
        <f t="array" aca="1" ref="J9" ca="1">OFFSET(INDIRECT($B9&amp;"!A1"),$E9-1,7)</f>
        <v>#REF!</v>
      </c>
    </row>
    <row r="10" spans="1:10" x14ac:dyDescent="0.15">
      <c r="A10" s="2">
        <v>8</v>
      </c>
      <c r="B10" s="2">
        <f>IF(経路検索F!$A10&lt;=経路検索1F!$C$1,"経路検索1F",IF($A10-(経路検索1F!$C$1)&lt;=経路検索2F!$C$1,"経路検索2F",IF($A10-(経路検索1F!$C$1)-(経路検索2F!$C$1)&lt;=経路検索3F!$C$1,"経路検索3F",0)))</f>
        <v>0</v>
      </c>
      <c r="C10" s="2">
        <f>COUNTIF($B$3:B10,B10)</f>
        <v>8</v>
      </c>
      <c r="D10" s="2">
        <f t="shared" si="0"/>
        <v>20</v>
      </c>
      <c r="E10" s="2" t="e">
        <f t="shared" ref="E10:E22" ca="1" si="4">MATCH(IF(C10=D10,10,C10),INDIRECT(B10&amp;"!A1:A32"),0)</f>
        <v>#REF!</v>
      </c>
      <c r="F10" s="6" t="e">
        <f t="array" aca="1" ref="F10" ca="1">OFFSET(INDIRECT($B10&amp;"!A1"),$E10-1,2)</f>
        <v>#REF!</v>
      </c>
      <c r="G10" s="6" t="e">
        <f t="shared" ca="1" si="3"/>
        <v>#REF!</v>
      </c>
      <c r="H10" s="6" t="e">
        <f t="array" aca="1" ref="H10" ca="1">OFFSET(INDIRECT($B10&amp;"!A1"),$E10-3,7)</f>
        <v>#REF!</v>
      </c>
      <c r="I10" s="6" t="e">
        <f t="array" aca="1" ref="I10" ca="1">OFFSET(INDIRECT($B10&amp;"!A1"),$E10-2,7)</f>
        <v>#REF!</v>
      </c>
      <c r="J10" s="6" t="e">
        <f t="array" aca="1" ref="J10" ca="1">OFFSET(INDIRECT($B10&amp;"!A1"),$E10-1,7)</f>
        <v>#REF!</v>
      </c>
    </row>
    <row r="11" spans="1:10" x14ac:dyDescent="0.15">
      <c r="A11" s="2">
        <v>9</v>
      </c>
      <c r="B11" s="2">
        <f>IF(経路検索F!$A11&lt;=経路検索1F!$C$1,"経路検索1F",IF($A11-(経路検索1F!$C$1)&lt;=経路検索2F!$C$1,"経路検索2F",IF($A11-(経路検索1F!$C$1)-(経路検索2F!$C$1)&lt;=経路検索3F!$C$1,"経路検索3F",0)))</f>
        <v>0</v>
      </c>
      <c r="C11" s="2">
        <f>COUNTIF($B$3:B11,B11)</f>
        <v>9</v>
      </c>
      <c r="D11" s="2">
        <f t="shared" si="0"/>
        <v>20</v>
      </c>
      <c r="E11" s="2" t="e">
        <f t="shared" ca="1" si="4"/>
        <v>#REF!</v>
      </c>
      <c r="F11" s="6" t="e">
        <f t="array" aca="1" ref="F11" ca="1">OFFSET(INDIRECT($B11&amp;"!A1"),$E11-1,2)</f>
        <v>#REF!</v>
      </c>
      <c r="G11" s="6" t="e">
        <f t="shared" ca="1" si="3"/>
        <v>#REF!</v>
      </c>
      <c r="H11" s="6" t="e">
        <f t="array" aca="1" ref="H11" ca="1">OFFSET(INDIRECT($B11&amp;"!A1"),$E11-3,7)</f>
        <v>#REF!</v>
      </c>
      <c r="I11" s="6" t="e">
        <f t="array" aca="1" ref="I11" ca="1">OFFSET(INDIRECT($B11&amp;"!A1"),$E11-2,7)</f>
        <v>#REF!</v>
      </c>
      <c r="J11" s="6" t="e">
        <f t="array" aca="1" ref="J11" ca="1">OFFSET(INDIRECT($B11&amp;"!A1"),$E11-1,7)</f>
        <v>#REF!</v>
      </c>
    </row>
    <row r="12" spans="1:10" x14ac:dyDescent="0.15">
      <c r="A12" s="2">
        <v>10</v>
      </c>
      <c r="B12" s="2">
        <f>IF(経路検索F!$A12&lt;=経路検索1F!$C$1,"経路検索1F",IF($A12-(経路検索1F!$C$1)&lt;=経路検索2F!$C$1,"経路検索2F",IF($A12-(経路検索1F!$C$1)-(経路検索2F!$C$1)&lt;=経路検索3F!$C$1,"経路検索3F",0)))</f>
        <v>0</v>
      </c>
      <c r="C12" s="2">
        <f>COUNTIF($B$3:B12,B12)</f>
        <v>10</v>
      </c>
      <c r="D12" s="2">
        <f t="shared" si="0"/>
        <v>20</v>
      </c>
      <c r="E12" s="2" t="e">
        <f t="shared" ca="1" si="4"/>
        <v>#REF!</v>
      </c>
      <c r="F12" s="6" t="e">
        <f t="array" aca="1" ref="F12" ca="1">OFFSET(INDIRECT($B12&amp;"!A1"),$E12-1,2)</f>
        <v>#REF!</v>
      </c>
      <c r="G12" s="6" t="e">
        <f t="shared" ca="1" si="3"/>
        <v>#REF!</v>
      </c>
      <c r="H12" s="6" t="e">
        <f t="array" aca="1" ref="H12" ca="1">OFFSET(INDIRECT($B12&amp;"!A1"),$E12-3,7)</f>
        <v>#REF!</v>
      </c>
      <c r="I12" s="6" t="e">
        <f t="array" aca="1" ref="I12" ca="1">OFFSET(INDIRECT($B12&amp;"!A1"),$E12-2,7)</f>
        <v>#REF!</v>
      </c>
      <c r="J12" s="6" t="e">
        <f t="array" aca="1" ref="J12" ca="1">OFFSET(INDIRECT($B12&amp;"!A1"),$E12-1,7)</f>
        <v>#REF!</v>
      </c>
    </row>
    <row r="13" spans="1:10" x14ac:dyDescent="0.15">
      <c r="A13" s="2">
        <v>11</v>
      </c>
      <c r="B13" s="2">
        <f>IF(経路検索F!$A13&lt;=経路検索1F!$C$1,"経路検索1F",IF($A13-(経路検索1F!$C$1)&lt;=経路検索2F!$C$1,"経路検索2F",IF($A13-(経路検索1F!$C$1)-(経路検索2F!$C$1)&lt;=経路検索3F!$C$1,"経路検索3F",0)))</f>
        <v>0</v>
      </c>
      <c r="C13" s="2">
        <f>COUNTIF($B$3:B13,B13)</f>
        <v>11</v>
      </c>
      <c r="D13" s="2">
        <f t="shared" si="0"/>
        <v>20</v>
      </c>
      <c r="E13" s="2" t="e">
        <f t="shared" ca="1" si="4"/>
        <v>#REF!</v>
      </c>
      <c r="F13" s="6" t="e">
        <f t="array" aca="1" ref="F13" ca="1">OFFSET(INDIRECT($B13&amp;"!A1"),$E13-1,2)</f>
        <v>#REF!</v>
      </c>
      <c r="G13" s="6" t="e">
        <f ca="1">F13&amp;"-"&amp;F14</f>
        <v>#REF!</v>
      </c>
      <c r="H13" s="6" t="e">
        <f t="array" aca="1" ref="H13" ca="1">OFFSET(INDIRECT($B13&amp;"!A1"),$E13-3,7)</f>
        <v>#REF!</v>
      </c>
      <c r="I13" s="6" t="e">
        <f t="array" aca="1" ref="I13" ca="1">OFFSET(INDIRECT($B13&amp;"!A1"),$E13-2,7)</f>
        <v>#REF!</v>
      </c>
      <c r="J13" s="6" t="e">
        <f t="array" aca="1" ref="J13" ca="1">OFFSET(INDIRECT($B13&amp;"!A1"),$E13-1,7)</f>
        <v>#REF!</v>
      </c>
    </row>
    <row r="14" spans="1:10" x14ac:dyDescent="0.15">
      <c r="A14" s="2">
        <v>12</v>
      </c>
      <c r="B14" s="2">
        <f>IF(経路検索F!$A14&lt;=経路検索1F!$C$1,"経路検索1F",IF($A14-(経路検索1F!$C$1)&lt;=経路検索2F!$C$1,"経路検索2F",IF($A14-(経路検索1F!$C$1)-(経路検索2F!$C$1)&lt;=経路検索3F!$C$1,"経路検索3F",0)))</f>
        <v>0</v>
      </c>
      <c r="C14" s="2">
        <f>COUNTIF($B$3:B14,B14)</f>
        <v>12</v>
      </c>
      <c r="D14" s="2">
        <f t="shared" si="0"/>
        <v>20</v>
      </c>
      <c r="E14" s="2" t="e">
        <f t="shared" ca="1" si="4"/>
        <v>#REF!</v>
      </c>
      <c r="F14" s="6" t="e">
        <f t="array" aca="1" ref="F14" ca="1">OFFSET(INDIRECT($B14&amp;"!A1"),$E14-1,2)</f>
        <v>#REF!</v>
      </c>
      <c r="G14" s="6" t="e">
        <f t="shared" ref="G14:G22" ca="1" si="5">F14&amp;"-"&amp;F15</f>
        <v>#REF!</v>
      </c>
      <c r="H14" s="6" t="e">
        <f t="array" aca="1" ref="H14" ca="1">OFFSET(INDIRECT($B14&amp;"!A1"),$E14-3,7)</f>
        <v>#REF!</v>
      </c>
      <c r="I14" s="6" t="e">
        <f t="array" aca="1" ref="I14" ca="1">OFFSET(INDIRECT($B14&amp;"!A1"),$E14-2,7)</f>
        <v>#REF!</v>
      </c>
      <c r="J14" s="6" t="e">
        <f t="array" aca="1" ref="J14" ca="1">OFFSET(INDIRECT($B14&amp;"!A1"),$E14-1,7)</f>
        <v>#REF!</v>
      </c>
    </row>
    <row r="15" spans="1:10" x14ac:dyDescent="0.15">
      <c r="A15" s="2">
        <v>13</v>
      </c>
      <c r="B15" s="2">
        <f>IF(経路検索F!$A15&lt;=経路検索1F!$C$1,"経路検索1F",IF($A15-(経路検索1F!$C$1)&lt;=経路検索2F!$C$1,"経路検索2F",IF($A15-(経路検索1F!$C$1)-(経路検索2F!$C$1)&lt;=経路検索3F!$C$1,"経路検索3F",0)))</f>
        <v>0</v>
      </c>
      <c r="C15" s="2">
        <f>COUNTIF($B$3:B15,B15)</f>
        <v>13</v>
      </c>
      <c r="D15" s="2">
        <f t="shared" si="0"/>
        <v>20</v>
      </c>
      <c r="E15" s="2" t="e">
        <f t="shared" ca="1" si="4"/>
        <v>#REF!</v>
      </c>
      <c r="F15" s="6" t="e">
        <f t="array" aca="1" ref="F15" ca="1">OFFSET(INDIRECT($B15&amp;"!A1"),$E15-1,2)</f>
        <v>#REF!</v>
      </c>
      <c r="G15" s="6" t="e">
        <f t="shared" ca="1" si="5"/>
        <v>#REF!</v>
      </c>
      <c r="H15" s="6" t="e">
        <f t="array" aca="1" ref="H15" ca="1">OFFSET(INDIRECT($B15&amp;"!A1"),$E15-3,7)</f>
        <v>#REF!</v>
      </c>
      <c r="I15" s="6" t="e">
        <f t="array" aca="1" ref="I15" ca="1">OFFSET(INDIRECT($B15&amp;"!A1"),$E15-2,7)</f>
        <v>#REF!</v>
      </c>
      <c r="J15" s="6" t="e">
        <f t="array" aca="1" ref="J15" ca="1">OFFSET(INDIRECT($B15&amp;"!A1"),$E15-1,7)</f>
        <v>#REF!</v>
      </c>
    </row>
    <row r="16" spans="1:10" x14ac:dyDescent="0.15">
      <c r="A16" s="2">
        <v>14</v>
      </c>
      <c r="B16" s="2">
        <f>IF(経路検索F!$A16&lt;=経路検索1F!$C$1,"経路検索1F",IF($A16-(経路検索1F!$C$1)&lt;=経路検索2F!$C$1,"経路検索2F",IF($A16-(経路検索1F!$C$1)-(経路検索2F!$C$1)&lt;=経路検索3F!$C$1,"経路検索3F",0)))</f>
        <v>0</v>
      </c>
      <c r="C16" s="2">
        <f>COUNTIF($B$3:B16,B16)</f>
        <v>14</v>
      </c>
      <c r="D16" s="2">
        <f t="shared" si="0"/>
        <v>20</v>
      </c>
      <c r="E16" s="2" t="e">
        <f t="shared" ca="1" si="4"/>
        <v>#REF!</v>
      </c>
      <c r="F16" s="6" t="e">
        <f t="array" aca="1" ref="F16" ca="1">OFFSET(INDIRECT($B16&amp;"!A1"),$E16-1,2)</f>
        <v>#REF!</v>
      </c>
      <c r="G16" s="6" t="e">
        <f t="shared" ca="1" si="5"/>
        <v>#REF!</v>
      </c>
      <c r="H16" s="6" t="e">
        <f t="array" aca="1" ref="H16" ca="1">OFFSET(INDIRECT($B16&amp;"!A1"),$E16-3,7)</f>
        <v>#REF!</v>
      </c>
      <c r="I16" s="6" t="e">
        <f t="array" aca="1" ref="I16" ca="1">OFFSET(INDIRECT($B16&amp;"!A1"),$E16-2,7)</f>
        <v>#REF!</v>
      </c>
      <c r="J16" s="6" t="e">
        <f t="array" aca="1" ref="J16" ca="1">OFFSET(INDIRECT($B16&amp;"!A1"),$E16-1,7)</f>
        <v>#REF!</v>
      </c>
    </row>
    <row r="17" spans="1:10" x14ac:dyDescent="0.15">
      <c r="A17" s="2">
        <v>15</v>
      </c>
      <c r="B17" s="2">
        <f>IF(経路検索F!$A17&lt;=経路検索1F!$C$1,"経路検索1F",IF($A17-(経路検索1F!$C$1)&lt;=経路検索2F!$C$1,"経路検索2F",IF($A17-(経路検索1F!$C$1)-(経路検索2F!$C$1)&lt;=経路検索3F!$C$1,"経路検索3F",0)))</f>
        <v>0</v>
      </c>
      <c r="C17" s="2">
        <f>COUNTIF($B$3:B17,B17)</f>
        <v>15</v>
      </c>
      <c r="D17" s="2">
        <f t="shared" si="0"/>
        <v>20</v>
      </c>
      <c r="E17" s="2" t="e">
        <f t="shared" ca="1" si="4"/>
        <v>#REF!</v>
      </c>
      <c r="F17" s="6" t="e">
        <f t="array" aca="1" ref="F17" ca="1">OFFSET(INDIRECT($B17&amp;"!A1"),$E17-1,2)</f>
        <v>#REF!</v>
      </c>
      <c r="G17" s="6" t="e">
        <f t="shared" ca="1" si="5"/>
        <v>#REF!</v>
      </c>
      <c r="H17" s="6" t="e">
        <f t="array" aca="1" ref="H17" ca="1">OFFSET(INDIRECT($B17&amp;"!A1"),$E17-3,7)</f>
        <v>#REF!</v>
      </c>
      <c r="I17" s="6" t="e">
        <f t="array" aca="1" ref="I17" ca="1">OFFSET(INDIRECT($B17&amp;"!A1"),$E17-2,7)</f>
        <v>#REF!</v>
      </c>
      <c r="J17" s="6" t="e">
        <f t="array" aca="1" ref="J17" ca="1">OFFSET(INDIRECT($B17&amp;"!A1"),$E17-1,7)</f>
        <v>#REF!</v>
      </c>
    </row>
    <row r="18" spans="1:10" x14ac:dyDescent="0.15">
      <c r="A18" s="2">
        <v>16</v>
      </c>
      <c r="B18" s="2">
        <f>IF(経路検索F!$A18&lt;=経路検索1F!$C$1,"経路検索1F",IF($A18-(経路検索1F!$C$1)&lt;=経路検索2F!$C$1,"経路検索2F",IF($A18-(経路検索1F!$C$1)-(経路検索2F!$C$1)&lt;=経路検索3F!$C$1,"経路検索3F",0)))</f>
        <v>0</v>
      </c>
      <c r="C18" s="2">
        <f>COUNTIF($B$3:B18,B18)</f>
        <v>16</v>
      </c>
      <c r="D18" s="2">
        <f t="shared" si="0"/>
        <v>20</v>
      </c>
      <c r="E18" s="2" t="e">
        <f t="shared" ca="1" si="4"/>
        <v>#REF!</v>
      </c>
      <c r="F18" s="6" t="e">
        <f t="array" aca="1" ref="F18" ca="1">OFFSET(INDIRECT($B18&amp;"!A1"),$E18-1,2)</f>
        <v>#REF!</v>
      </c>
      <c r="G18" s="6" t="e">
        <f t="shared" ca="1" si="5"/>
        <v>#REF!</v>
      </c>
      <c r="H18" s="6" t="e">
        <f t="array" aca="1" ref="H18" ca="1">OFFSET(INDIRECT($B18&amp;"!A1"),$E18-3,7)</f>
        <v>#REF!</v>
      </c>
      <c r="I18" s="6" t="e">
        <f t="array" aca="1" ref="I18" ca="1">OFFSET(INDIRECT($B18&amp;"!A1"),$E18-2,7)</f>
        <v>#REF!</v>
      </c>
      <c r="J18" s="6" t="e">
        <f t="array" aca="1" ref="J18" ca="1">OFFSET(INDIRECT($B18&amp;"!A1"),$E18-1,7)</f>
        <v>#REF!</v>
      </c>
    </row>
    <row r="19" spans="1:10" x14ac:dyDescent="0.15">
      <c r="A19" s="2">
        <v>17</v>
      </c>
      <c r="B19" s="2">
        <f>IF(経路検索F!$A19&lt;=経路検索1F!$C$1,"経路検索1F",IF($A19-(経路検索1F!$C$1)&lt;=経路検索2F!$C$1,"経路検索2F",IF($A19-(経路検索1F!$C$1)-(経路検索2F!$C$1)&lt;=経路検索3F!$C$1,"経路検索3F",0)))</f>
        <v>0</v>
      </c>
      <c r="C19" s="2">
        <f>COUNTIF($B$3:B19,B19)</f>
        <v>17</v>
      </c>
      <c r="D19" s="2">
        <f t="shared" si="0"/>
        <v>20</v>
      </c>
      <c r="E19" s="2" t="e">
        <f t="shared" ca="1" si="4"/>
        <v>#REF!</v>
      </c>
      <c r="F19" s="6" t="e">
        <f t="array" aca="1" ref="F19" ca="1">OFFSET(INDIRECT($B19&amp;"!A1"),$E19-1,2)</f>
        <v>#REF!</v>
      </c>
      <c r="G19" s="6" t="e">
        <f t="shared" ca="1" si="5"/>
        <v>#REF!</v>
      </c>
      <c r="H19" s="6" t="e">
        <f t="array" aca="1" ref="H19" ca="1">OFFSET(INDIRECT($B19&amp;"!A1"),$E19-3,7)</f>
        <v>#REF!</v>
      </c>
      <c r="I19" s="6" t="e">
        <f t="array" aca="1" ref="I19" ca="1">OFFSET(INDIRECT($B19&amp;"!A1"),$E19-2,7)</f>
        <v>#REF!</v>
      </c>
      <c r="J19" s="6" t="e">
        <f t="array" aca="1" ref="J19" ca="1">OFFSET(INDIRECT($B19&amp;"!A1"),$E19-1,7)</f>
        <v>#REF!</v>
      </c>
    </row>
    <row r="20" spans="1:10" x14ac:dyDescent="0.15">
      <c r="A20" s="2">
        <v>18</v>
      </c>
      <c r="B20" s="2">
        <f>IF(経路検索F!$A20&lt;=経路検索1F!$C$1,"経路検索1F",IF($A20-(経路検索1F!$C$1)&lt;=経路検索2F!$C$1,"経路検索2F",IF($A20-(経路検索1F!$C$1)-(経路検索2F!$C$1)&lt;=経路検索3F!$C$1,"経路検索3F",0)))</f>
        <v>0</v>
      </c>
      <c r="C20" s="2">
        <f>COUNTIF($B$3:B20,B20)</f>
        <v>18</v>
      </c>
      <c r="D20" s="2">
        <f t="shared" si="0"/>
        <v>20</v>
      </c>
      <c r="E20" s="2" t="e">
        <f t="shared" ca="1" si="4"/>
        <v>#REF!</v>
      </c>
      <c r="F20" s="6" t="e">
        <f t="array" aca="1" ref="F20" ca="1">OFFSET(INDIRECT($B20&amp;"!A1"),$E20-1,2)</f>
        <v>#REF!</v>
      </c>
      <c r="G20" s="6" t="e">
        <f t="shared" ca="1" si="5"/>
        <v>#REF!</v>
      </c>
      <c r="H20" s="6" t="e">
        <f t="array" aca="1" ref="H20" ca="1">OFFSET(INDIRECT($B20&amp;"!A1"),$E20-3,7)</f>
        <v>#REF!</v>
      </c>
      <c r="I20" s="6" t="e">
        <f t="array" aca="1" ref="I20" ca="1">OFFSET(INDIRECT($B20&amp;"!A1"),$E20-2,7)</f>
        <v>#REF!</v>
      </c>
      <c r="J20" s="6" t="e">
        <f t="array" aca="1" ref="J20" ca="1">OFFSET(INDIRECT($B20&amp;"!A1"),$E20-1,7)</f>
        <v>#REF!</v>
      </c>
    </row>
    <row r="21" spans="1:10" x14ac:dyDescent="0.15">
      <c r="A21" s="2">
        <v>19</v>
      </c>
      <c r="B21" s="2">
        <f>IF(経路検索F!$A21&lt;=経路検索1F!$C$1,"経路検索1F",IF($A21-(経路検索1F!$C$1)&lt;=経路検索2F!$C$1,"経路検索2F",IF($A21-(経路検索1F!$C$1)-(経路検索2F!$C$1)&lt;=経路検索3F!$C$1,"経路検索3F",0)))</f>
        <v>0</v>
      </c>
      <c r="C21" s="2">
        <f>COUNTIF($B$3:B21,B21)</f>
        <v>19</v>
      </c>
      <c r="D21" s="2">
        <f t="shared" si="0"/>
        <v>20</v>
      </c>
      <c r="E21" s="2" t="e">
        <f t="shared" ca="1" si="4"/>
        <v>#REF!</v>
      </c>
      <c r="F21" s="6" t="e">
        <f t="array" aca="1" ref="F21" ca="1">OFFSET(INDIRECT($B21&amp;"!A1"),$E21-1,2)</f>
        <v>#REF!</v>
      </c>
      <c r="G21" s="6" t="e">
        <f t="shared" ca="1" si="5"/>
        <v>#REF!</v>
      </c>
      <c r="H21" s="6" t="e">
        <f t="array" aca="1" ref="H21" ca="1">OFFSET(INDIRECT($B21&amp;"!A1"),$E21-3,7)</f>
        <v>#REF!</v>
      </c>
      <c r="I21" s="6" t="e">
        <f t="array" aca="1" ref="I21" ca="1">OFFSET(INDIRECT($B21&amp;"!A1"),$E21-2,7)</f>
        <v>#REF!</v>
      </c>
      <c r="J21" s="6" t="e">
        <f t="array" aca="1" ref="J21" ca="1">OFFSET(INDIRECT($B21&amp;"!A1"),$E21-1,7)</f>
        <v>#REF!</v>
      </c>
    </row>
    <row r="22" spans="1:10" x14ac:dyDescent="0.15">
      <c r="A22" s="2">
        <v>20</v>
      </c>
      <c r="B22" s="2">
        <f>IF(経路検索F!$A22&lt;=経路検索1F!$C$1,"経路検索1F",IF($A22-(経路検索1F!$C$1)&lt;=経路検索2F!$C$1,"経路検索2F",IF($A22-(経路検索1F!$C$1)-(経路検索2F!$C$1)&lt;=経路検索3F!$C$1,"経路検索3F",0)))</f>
        <v>0</v>
      </c>
      <c r="C22" s="2">
        <f>COUNTIF($B$3:B22,B22)</f>
        <v>20</v>
      </c>
      <c r="D22" s="2">
        <f t="shared" si="0"/>
        <v>20</v>
      </c>
      <c r="E22" s="2" t="e">
        <f t="shared" ca="1" si="4"/>
        <v>#REF!</v>
      </c>
      <c r="F22" s="6" t="e">
        <f t="array" aca="1" ref="F22" ca="1">OFFSET(INDIRECT($B22&amp;"!A1"),$E22-1,2)</f>
        <v>#REF!</v>
      </c>
      <c r="G22" s="6" t="e">
        <f t="shared" ca="1" si="5"/>
        <v>#REF!</v>
      </c>
      <c r="H22" s="6" t="e">
        <f t="array" aca="1" ref="H22" ca="1">OFFSET(INDIRECT($B22&amp;"!A1"),$E22-3,7)</f>
        <v>#REF!</v>
      </c>
      <c r="I22" s="6" t="e">
        <f t="array" aca="1" ref="I22" ca="1">OFFSET(INDIRECT($B22&amp;"!A1"),$E22-2,7)</f>
        <v>#REF!</v>
      </c>
      <c r="J22" s="6" t="e">
        <f t="array" aca="1" ref="J22" ca="1">OFFSET(INDIRECT($B22&amp;"!A1"),$E22-1,7)</f>
        <v>#REF!</v>
      </c>
    </row>
    <row r="23" spans="1:10" x14ac:dyDescent="0.15">
      <c r="F23" s="6"/>
      <c r="G23" s="6"/>
      <c r="H23" s="6"/>
      <c r="I23" s="6"/>
      <c r="J23" s="6"/>
    </row>
    <row r="24" spans="1:10" x14ac:dyDescent="0.15">
      <c r="F24" s="6"/>
      <c r="G24" s="6"/>
      <c r="H24" s="6"/>
      <c r="I24" s="6"/>
      <c r="J24" s="6"/>
    </row>
    <row r="25" spans="1:10" x14ac:dyDescent="0.15">
      <c r="F25" s="6"/>
      <c r="G25" s="6"/>
      <c r="H25" s="6"/>
      <c r="I25" s="6"/>
      <c r="J25" s="6"/>
    </row>
    <row r="26" spans="1:10" x14ac:dyDescent="0.15">
      <c r="F26" s="6"/>
      <c r="G26" s="6"/>
      <c r="H26" s="6"/>
      <c r="I26" s="6"/>
      <c r="J26" s="6"/>
    </row>
    <row r="27" spans="1:10" x14ac:dyDescent="0.15">
      <c r="F27" s="6"/>
      <c r="G27" s="6"/>
      <c r="H27" s="6"/>
      <c r="I27" s="6"/>
      <c r="J27" s="6"/>
    </row>
    <row r="28" spans="1:10" x14ac:dyDescent="0.15">
      <c r="F28" s="6"/>
      <c r="G28" s="6"/>
      <c r="H28" s="6"/>
      <c r="I28" s="6"/>
      <c r="J28" s="6"/>
    </row>
    <row r="29" spans="1:10" x14ac:dyDescent="0.15">
      <c r="F29" s="6"/>
      <c r="G29" s="6"/>
      <c r="H29" s="6"/>
      <c r="I29" s="6"/>
      <c r="J29" s="6"/>
    </row>
    <row r="30" spans="1:10" x14ac:dyDescent="0.15">
      <c r="F30" s="6"/>
      <c r="G30" s="6"/>
      <c r="H30" s="6"/>
      <c r="I30" s="6"/>
      <c r="J30" s="6"/>
    </row>
    <row r="31" spans="1:10" x14ac:dyDescent="0.15">
      <c r="F31" s="6"/>
      <c r="G31" s="6"/>
      <c r="H31" s="6"/>
      <c r="I31" s="6"/>
      <c r="J31" s="6"/>
    </row>
    <row r="32" spans="1:10" x14ac:dyDescent="0.15">
      <c r="F32" s="6"/>
      <c r="G32" s="6"/>
      <c r="H32" s="6"/>
      <c r="I32" s="6"/>
      <c r="J32" s="6"/>
    </row>
  </sheetData>
  <phoneticPr fontId="8"/>
  <pageMargins left="0.7" right="0.7" top="0.75" bottom="0.75" header="0.3" footer="0.3"/>
  <pageSetup paperSize="9" scale="95"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0" tint="-0.499984740745262"/>
  </sheetPr>
  <dimension ref="A1:H32"/>
  <sheetViews>
    <sheetView zoomScale="85" zoomScaleNormal="85" workbookViewId="0"/>
  </sheetViews>
  <sheetFormatPr defaultColWidth="10" defaultRowHeight="13.5" x14ac:dyDescent="0.15"/>
  <cols>
    <col min="1" max="1" width="4" style="2" customWidth="1"/>
    <col min="2" max="2" width="24.5" style="2" customWidth="1"/>
    <col min="3" max="3" width="35" style="2" customWidth="1"/>
    <col min="4" max="4" width="14.5" style="2" customWidth="1"/>
    <col min="5" max="5" width="10.125" style="2" customWidth="1"/>
    <col min="6" max="6" width="64.5" style="2" customWidth="1"/>
    <col min="7" max="7" width="5.75" style="2" customWidth="1"/>
    <col min="8" max="8" width="53.375" style="2" customWidth="1"/>
    <col min="9" max="16384" width="10" style="2"/>
  </cols>
  <sheetData>
    <row r="1" spans="1:8" x14ac:dyDescent="0.15">
      <c r="B1" s="2" t="s">
        <v>38</v>
      </c>
      <c r="C1" s="2">
        <f>10-COUNTIF($C$3:$C$32,"#VALUE!")/3</f>
        <v>0</v>
      </c>
    </row>
    <row r="3" spans="1:8" x14ac:dyDescent="0.15">
      <c r="B3" s="2" t="s">
        <v>39</v>
      </c>
      <c r="C3" s="2" t="e">
        <f>FIND("■",乗換案内検索結果入力シート!$B$8,1)</f>
        <v>#VALUE!</v>
      </c>
      <c r="D3" s="2" t="s">
        <v>40</v>
      </c>
      <c r="E3" s="2" t="e">
        <f>FIND("｜",乗換案内検索結果入力シート!$B$8,FIND("■"&amp;C5,乗換案内検索結果入力シート!$B$8))</f>
        <v>#VALUE!</v>
      </c>
      <c r="F3" s="2" t="e">
        <f>MID(乗換案内検索結果入力シート!$B$8,E3+3,E4-E3-4)</f>
        <v>#VALUE!</v>
      </c>
      <c r="G3" s="2" t="s">
        <v>41</v>
      </c>
      <c r="H3" s="2" t="e">
        <f>LEFT(F3,FIND(" ",F3)-1)</f>
        <v>#VALUE!</v>
      </c>
    </row>
    <row r="4" spans="1:8" x14ac:dyDescent="0.15">
      <c r="B4" s="2" t="s">
        <v>42</v>
      </c>
      <c r="C4" s="2" t="e">
        <f>FIND(" ",乗換案内検索結果入力シート!$B$8,C3)</f>
        <v>#VALUE!</v>
      </c>
      <c r="D4" s="2" t="s">
        <v>43</v>
      </c>
      <c r="E4" s="2" t="e">
        <f>FIND("｜",乗換案内検索結果入力シート!$B$8,E3+1)</f>
        <v>#VALUE!</v>
      </c>
      <c r="F4" s="2" t="e">
        <f>MID(乗換案内検索結果入力シート!$B$8,E4+3,E5-E4-4)</f>
        <v>#VALUE!</v>
      </c>
      <c r="G4" s="2" t="s">
        <v>28</v>
      </c>
      <c r="H4" s="2" t="e">
        <f>MID(F3,LEN(H3)+4,FIND("km",F3,LEN(H3))-LEN(H3)-4)</f>
        <v>#VALUE!</v>
      </c>
    </row>
    <row r="5" spans="1:8" x14ac:dyDescent="0.15">
      <c r="A5" s="2">
        <v>1</v>
      </c>
      <c r="B5" s="3" t="s">
        <v>44</v>
      </c>
      <c r="C5" s="4" t="e">
        <f>MID(乗換案内検索結果入力シート!$B$8,C3+1,C4-C3-1)</f>
        <v>#VALUE!</v>
      </c>
      <c r="D5" s="2" t="s">
        <v>45</v>
      </c>
      <c r="E5" s="2" t="e">
        <f>FIND("｜",乗換案内検索結果入力シート!$B$8,E4+1)</f>
        <v>#VALUE!</v>
      </c>
      <c r="G5" s="2" t="s">
        <v>46</v>
      </c>
      <c r="H5" s="2" t="e">
        <f>MID(F4,FIND("［",F4)+1,FIND("］",F4)-FIND("［",F4)-2)</f>
        <v>#VALUE!</v>
      </c>
    </row>
    <row r="6" spans="1:8" x14ac:dyDescent="0.15">
      <c r="B6" s="2" t="s">
        <v>47</v>
      </c>
      <c r="C6" s="2" t="e">
        <f>FIND("◇",乗換案内検索結果入力シート!$B$8,C4)</f>
        <v>#VALUE!</v>
      </c>
      <c r="D6" s="2" t="s">
        <v>48</v>
      </c>
      <c r="E6" s="2" t="e">
        <f>FIND("｜",乗換案内検索結果入力シート!$B$8,FIND("◇"&amp;C8,乗換案内検索結果入力シート!$B$8))</f>
        <v>#VALUE!</v>
      </c>
      <c r="F6" s="2" t="e">
        <f>MID(乗換案内検索結果入力シート!$B$8,E6+3,E7-E6-4)</f>
        <v>#VALUE!</v>
      </c>
      <c r="G6" s="2" t="s">
        <v>41</v>
      </c>
      <c r="H6" s="2" t="e">
        <f>LEFT(F6,FIND(" ",F6)-1)</f>
        <v>#VALUE!</v>
      </c>
    </row>
    <row r="7" spans="1:8" x14ac:dyDescent="0.15">
      <c r="B7" s="2" t="s">
        <v>49</v>
      </c>
      <c r="C7" s="2" t="e">
        <f>FIND(" ",乗換案内検索結果入力シート!$B$8,C6)</f>
        <v>#VALUE!</v>
      </c>
      <c r="D7" s="2" t="s">
        <v>50</v>
      </c>
      <c r="E7" s="2" t="e">
        <f>FIND("｜",乗換案内検索結果入力シート!$B$8,E6+1)</f>
        <v>#VALUE!</v>
      </c>
      <c r="F7" s="2" t="e">
        <f>MID(乗換案内検索結果入力シート!$B$8,E7+3,E8-E7-4)</f>
        <v>#VALUE!</v>
      </c>
      <c r="G7" s="2" t="s">
        <v>28</v>
      </c>
      <c r="H7" s="2" t="e">
        <f>MID(F6,LEN(H6)+4,FIND("km",F6,LEN(H6))-LEN(H6)-4)</f>
        <v>#VALUE!</v>
      </c>
    </row>
    <row r="8" spans="1:8" x14ac:dyDescent="0.15">
      <c r="A8" s="2">
        <v>2</v>
      </c>
      <c r="B8" s="5" t="s">
        <v>51</v>
      </c>
      <c r="C8" s="5" t="e">
        <f>MID(乗換案内検索結果入力シート!$B$8,C6+1,C7-C6-1)</f>
        <v>#VALUE!</v>
      </c>
      <c r="D8" s="2" t="s">
        <v>52</v>
      </c>
      <c r="E8" s="2" t="e">
        <f>FIND("｜",乗換案内検索結果入力シート!$B$8,E7+1)</f>
        <v>#VALUE!</v>
      </c>
      <c r="G8" s="2" t="s">
        <v>46</v>
      </c>
      <c r="H8" s="2" t="e">
        <f>MID(F7,FIND("［",F7)+1,FIND("］",F7)-FIND("［",F7)-2)</f>
        <v>#VALUE!</v>
      </c>
    </row>
    <row r="9" spans="1:8" x14ac:dyDescent="0.15">
      <c r="B9" s="2" t="s">
        <v>53</v>
      </c>
      <c r="C9" s="2" t="e">
        <f>FIND("◇",乗換案内検索結果入力シート!$B$8,C7)</f>
        <v>#VALUE!</v>
      </c>
      <c r="D9" s="2" t="s">
        <v>54</v>
      </c>
      <c r="E9" s="2" t="e">
        <f>FIND("｜",乗換案内検索結果入力シート!$B$8,FIND("◇"&amp;C11,乗換案内検索結果入力シート!$B$8))</f>
        <v>#VALUE!</v>
      </c>
      <c r="F9" s="2" t="e">
        <f>MID(乗換案内検索結果入力シート!$B$8,E9+3,E10-E9-4)</f>
        <v>#VALUE!</v>
      </c>
      <c r="G9" s="2" t="s">
        <v>41</v>
      </c>
      <c r="H9" s="2" t="e">
        <f t="shared" ref="H9" si="0">LEFT(F9,FIND(" ",F9)-1)</f>
        <v>#VALUE!</v>
      </c>
    </row>
    <row r="10" spans="1:8" x14ac:dyDescent="0.15">
      <c r="B10" s="2" t="s">
        <v>55</v>
      </c>
      <c r="C10" s="2" t="e">
        <f>FIND(" ",乗換案内検索結果入力シート!$B$8,C9)</f>
        <v>#VALUE!</v>
      </c>
      <c r="D10" s="2" t="s">
        <v>56</v>
      </c>
      <c r="E10" s="2" t="e">
        <f>FIND("｜",乗換案内検索結果入力シート!$B$8,E9+1)</f>
        <v>#VALUE!</v>
      </c>
      <c r="F10" s="2" t="e">
        <f>MID(乗換案内検索結果入力シート!$B$8,E10+3,E11-E10-4)</f>
        <v>#VALUE!</v>
      </c>
      <c r="G10" s="2" t="s">
        <v>28</v>
      </c>
      <c r="H10" s="2" t="e">
        <f t="shared" ref="H10" si="1">MID(F9,LEN(H9)+4,FIND("km",F9,LEN(H9))-LEN(H9)-4)</f>
        <v>#VALUE!</v>
      </c>
    </row>
    <row r="11" spans="1:8" x14ac:dyDescent="0.15">
      <c r="A11" s="2">
        <v>3</v>
      </c>
      <c r="B11" s="5" t="s">
        <v>57</v>
      </c>
      <c r="C11" s="5" t="e">
        <f>MID(乗換案内検索結果入力シート!$B$8,C9+1,C10-C9-1)</f>
        <v>#VALUE!</v>
      </c>
      <c r="D11" s="2" t="s">
        <v>58</v>
      </c>
      <c r="E11" s="2" t="e">
        <f>FIND("｜",乗換案内検索結果入力シート!$B$8,E10+1)</f>
        <v>#VALUE!</v>
      </c>
      <c r="G11" s="2" t="s">
        <v>46</v>
      </c>
      <c r="H11" s="2" t="e">
        <f t="shared" ref="H11" si="2">MID(F10,FIND("［",F10)+1,FIND("］",F10)-FIND("［",F10)-2)</f>
        <v>#VALUE!</v>
      </c>
    </row>
    <row r="12" spans="1:8" x14ac:dyDescent="0.15">
      <c r="B12" s="2" t="s">
        <v>59</v>
      </c>
      <c r="C12" s="2" t="e">
        <f>FIND("◇",乗換案内検索結果入力シート!$B$8,C10)</f>
        <v>#VALUE!</v>
      </c>
      <c r="D12" s="2" t="s">
        <v>60</v>
      </c>
      <c r="E12" s="2" t="e">
        <f>FIND("｜",乗換案内検索結果入力シート!$B$8,FIND("◇"&amp;C14,乗換案内検索結果入力シート!$B$8))</f>
        <v>#VALUE!</v>
      </c>
      <c r="F12" s="2" t="e">
        <f>MID(乗換案内検索結果入力シート!$B$8,E12+3,E13-E12-4)</f>
        <v>#VALUE!</v>
      </c>
      <c r="G12" s="2" t="s">
        <v>41</v>
      </c>
      <c r="H12" s="2" t="e">
        <f t="shared" ref="H12" si="3">LEFT(F12,FIND(" ",F12)-1)</f>
        <v>#VALUE!</v>
      </c>
    </row>
    <row r="13" spans="1:8" x14ac:dyDescent="0.15">
      <c r="B13" s="2" t="s">
        <v>61</v>
      </c>
      <c r="C13" s="2" t="e">
        <f>FIND(" ",乗換案内検索結果入力シート!$B$8,C12)</f>
        <v>#VALUE!</v>
      </c>
      <c r="D13" s="2" t="s">
        <v>62</v>
      </c>
      <c r="E13" s="2" t="e">
        <f>FIND("｜",乗換案内検索結果入力シート!$B$8,E12+1)</f>
        <v>#VALUE!</v>
      </c>
      <c r="F13" s="2" t="e">
        <f>MID(乗換案内検索結果入力シート!$B$8,E13+3,E14-E13-4)</f>
        <v>#VALUE!</v>
      </c>
      <c r="G13" s="2" t="s">
        <v>28</v>
      </c>
      <c r="H13" s="2" t="e">
        <f t="shared" ref="H13" si="4">MID(F12,LEN(H12)+4,FIND("km",F12,LEN(H12))-LEN(H12)-4)</f>
        <v>#VALUE!</v>
      </c>
    </row>
    <row r="14" spans="1:8" x14ac:dyDescent="0.15">
      <c r="A14" s="2">
        <v>4</v>
      </c>
      <c r="B14" s="5" t="s">
        <v>63</v>
      </c>
      <c r="C14" s="5" t="e">
        <f>MID(乗換案内検索結果入力シート!$B$8,C12+1,C13-C12-1)</f>
        <v>#VALUE!</v>
      </c>
      <c r="D14" s="2" t="s">
        <v>64</v>
      </c>
      <c r="E14" s="2" t="e">
        <f>FIND("｜",乗換案内検索結果入力シート!$B$8,E13+1)</f>
        <v>#VALUE!</v>
      </c>
      <c r="G14" s="2" t="s">
        <v>46</v>
      </c>
      <c r="H14" s="2" t="e">
        <f t="shared" ref="H14" si="5">MID(F13,FIND("［",F13)+1,FIND("］",F13)-FIND("［",F13)-2)</f>
        <v>#VALUE!</v>
      </c>
    </row>
    <row r="15" spans="1:8" x14ac:dyDescent="0.15">
      <c r="B15" s="2" t="s">
        <v>65</v>
      </c>
      <c r="C15" s="2" t="e">
        <f>FIND("◇",乗換案内検索結果入力シート!$B$8,C13)</f>
        <v>#VALUE!</v>
      </c>
      <c r="D15" s="2" t="s">
        <v>66</v>
      </c>
      <c r="E15" s="2" t="e">
        <f>FIND("｜",乗換案内検索結果入力シート!$B$8,FIND("◇"&amp;C17,乗換案内検索結果入力シート!$B$8))</f>
        <v>#VALUE!</v>
      </c>
      <c r="F15" s="2" t="e">
        <f>MID(乗換案内検索結果入力シート!$B$8,E15+3,E16-E15-4)</f>
        <v>#VALUE!</v>
      </c>
      <c r="G15" s="2" t="s">
        <v>41</v>
      </c>
      <c r="H15" s="2" t="e">
        <f>LEFT(F15,FIND(" ",F15)-1)</f>
        <v>#VALUE!</v>
      </c>
    </row>
    <row r="16" spans="1:8" x14ac:dyDescent="0.15">
      <c r="B16" s="2" t="s">
        <v>67</v>
      </c>
      <c r="C16" s="2" t="e">
        <f>FIND(" ",乗換案内検索結果入力シート!$B$8,C15)</f>
        <v>#VALUE!</v>
      </c>
      <c r="D16" s="2" t="s">
        <v>68</v>
      </c>
      <c r="E16" s="2" t="e">
        <f>FIND("｜",乗換案内検索結果入力シート!$B$8,E15+1)</f>
        <v>#VALUE!</v>
      </c>
      <c r="F16" s="2" t="e">
        <f>MID(乗換案内検索結果入力シート!$B$8,E16+3,E17-E16-4)</f>
        <v>#VALUE!</v>
      </c>
      <c r="G16" s="2" t="s">
        <v>28</v>
      </c>
      <c r="H16" s="2" t="e">
        <f t="shared" ref="H16" si="6">MID(F15,LEN(H15)+4,FIND("km",F15,LEN(H15))-LEN(H15)-4)</f>
        <v>#VALUE!</v>
      </c>
    </row>
    <row r="17" spans="1:8" x14ac:dyDescent="0.15">
      <c r="A17" s="2">
        <v>5</v>
      </c>
      <c r="B17" s="5" t="s">
        <v>69</v>
      </c>
      <c r="C17" s="5" t="e">
        <f>MID(乗換案内検索結果入力シート!$B$8,C15+1,C16-C15-1)</f>
        <v>#VALUE!</v>
      </c>
      <c r="D17" s="2" t="s">
        <v>70</v>
      </c>
      <c r="E17" s="2" t="e">
        <f>FIND("｜",乗換案内検索結果入力シート!$B$8,E16+1)</f>
        <v>#VALUE!</v>
      </c>
      <c r="G17" s="2" t="s">
        <v>46</v>
      </c>
      <c r="H17" s="2" t="e">
        <f t="shared" ref="H17" si="7">MID(F16,FIND("［",F16)+1,FIND("］",F16)-FIND("［",F16)-2)</f>
        <v>#VALUE!</v>
      </c>
    </row>
    <row r="18" spans="1:8" x14ac:dyDescent="0.15">
      <c r="B18" s="2" t="s">
        <v>71</v>
      </c>
      <c r="C18" s="2" t="e">
        <f>FIND("◇",乗換案内検索結果入力シート!$B$8,C16)</f>
        <v>#VALUE!</v>
      </c>
      <c r="D18" s="2" t="s">
        <v>72</v>
      </c>
      <c r="E18" s="2" t="e">
        <f>FIND("｜",乗換案内検索結果入力シート!$B$8,FIND("◇"&amp;C20,乗換案内検索結果入力シート!$B$8))</f>
        <v>#VALUE!</v>
      </c>
      <c r="F18" s="2" t="e">
        <f>MID(乗換案内検索結果入力シート!$B$8,E18+3,E19-E18-4)</f>
        <v>#VALUE!</v>
      </c>
      <c r="G18" s="2" t="s">
        <v>41</v>
      </c>
      <c r="H18" s="2" t="e">
        <f t="shared" ref="H18" si="8">LEFT(F18,FIND(" ",F18)-1)</f>
        <v>#VALUE!</v>
      </c>
    </row>
    <row r="19" spans="1:8" x14ac:dyDescent="0.15">
      <c r="B19" s="2" t="s">
        <v>73</v>
      </c>
      <c r="C19" s="2" t="e">
        <f>FIND(" ",乗換案内検索結果入力シート!$B$8,C18)</f>
        <v>#VALUE!</v>
      </c>
      <c r="D19" s="2" t="s">
        <v>74</v>
      </c>
      <c r="E19" s="2" t="e">
        <f>FIND("｜",乗換案内検索結果入力シート!$B$8,E18+1)</f>
        <v>#VALUE!</v>
      </c>
      <c r="F19" s="2" t="e">
        <f>MID(乗換案内検索結果入力シート!$B$8,E19+3,E20-E19-4)</f>
        <v>#VALUE!</v>
      </c>
      <c r="G19" s="2" t="s">
        <v>28</v>
      </c>
      <c r="H19" s="2" t="e">
        <f t="shared" ref="H19" si="9">MID(F18,LEN(H18)+4,FIND("km",F18,LEN(H18))-LEN(H18)-4)</f>
        <v>#VALUE!</v>
      </c>
    </row>
    <row r="20" spans="1:8" x14ac:dyDescent="0.15">
      <c r="A20" s="2">
        <v>6</v>
      </c>
      <c r="B20" s="5" t="s">
        <v>75</v>
      </c>
      <c r="C20" s="5" t="e">
        <f>MID(乗換案内検索結果入力シート!$B$8,C18+1,C19-C18-1)</f>
        <v>#VALUE!</v>
      </c>
      <c r="D20" s="2" t="s">
        <v>76</v>
      </c>
      <c r="E20" s="2" t="e">
        <f>FIND("｜",乗換案内検索結果入力シート!$B$8,E19+1)</f>
        <v>#VALUE!</v>
      </c>
      <c r="G20" s="2" t="s">
        <v>46</v>
      </c>
      <c r="H20" s="2" t="e">
        <f t="shared" ref="H20" si="10">MID(F19,FIND("［",F19)+1,FIND("］",F19)-FIND("［",F19)-2)</f>
        <v>#VALUE!</v>
      </c>
    </row>
    <row r="21" spans="1:8" x14ac:dyDescent="0.15">
      <c r="B21" s="2" t="s">
        <v>77</v>
      </c>
      <c r="C21" s="2" t="e">
        <f>FIND("◇",乗換案内検索結果入力シート!$B$8,C19)</f>
        <v>#VALUE!</v>
      </c>
      <c r="D21" s="2" t="s">
        <v>78</v>
      </c>
      <c r="E21" s="2" t="e">
        <f>FIND("｜",乗換案内検索結果入力シート!$B$8,FIND("◇"&amp;C23,乗換案内検索結果入力シート!$B$8))</f>
        <v>#VALUE!</v>
      </c>
      <c r="F21" s="2" t="e">
        <f>MID(乗換案内検索結果入力シート!$B$8,E21+3,E22-E21-4)</f>
        <v>#VALUE!</v>
      </c>
      <c r="G21" s="2" t="s">
        <v>41</v>
      </c>
      <c r="H21" s="2" t="e">
        <f t="shared" ref="H21" si="11">LEFT(F21,FIND(" ",F21)-1)</f>
        <v>#VALUE!</v>
      </c>
    </row>
    <row r="22" spans="1:8" x14ac:dyDescent="0.15">
      <c r="B22" s="2" t="s">
        <v>79</v>
      </c>
      <c r="C22" s="2" t="e">
        <f>FIND(" ",乗換案内検索結果入力シート!$B$8,C21)</f>
        <v>#VALUE!</v>
      </c>
      <c r="D22" s="2" t="s">
        <v>80</v>
      </c>
      <c r="E22" s="2" t="e">
        <f>FIND("｜",乗換案内検索結果入力シート!$B$8,E21+1)</f>
        <v>#VALUE!</v>
      </c>
      <c r="F22" s="2" t="e">
        <f>MID(乗換案内検索結果入力シート!$B$8,E22+3,E23-E22-4)</f>
        <v>#VALUE!</v>
      </c>
      <c r="G22" s="2" t="s">
        <v>28</v>
      </c>
      <c r="H22" s="2" t="e">
        <f t="shared" ref="H22" si="12">MID(F21,LEN(H21)+4,FIND("km",F21,LEN(H21))-LEN(H21)-4)</f>
        <v>#VALUE!</v>
      </c>
    </row>
    <row r="23" spans="1:8" x14ac:dyDescent="0.15">
      <c r="A23" s="2">
        <v>7</v>
      </c>
      <c r="B23" s="5" t="s">
        <v>81</v>
      </c>
      <c r="C23" s="5" t="e">
        <f>MID(乗換案内検索結果入力シート!$B$8,C21+1,C22-C21-1)</f>
        <v>#VALUE!</v>
      </c>
      <c r="D23" s="2" t="s">
        <v>82</v>
      </c>
      <c r="E23" s="2" t="e">
        <f>FIND("｜",乗換案内検索結果入力シート!$B$8,E22+1)</f>
        <v>#VALUE!</v>
      </c>
      <c r="G23" s="2" t="s">
        <v>46</v>
      </c>
      <c r="H23" s="2" t="e">
        <f t="shared" ref="H23" si="13">MID(F22,FIND("［",F22)+1,FIND("］",F22)-FIND("［",F22)-2)</f>
        <v>#VALUE!</v>
      </c>
    </row>
    <row r="24" spans="1:8" x14ac:dyDescent="0.15">
      <c r="B24" s="2" t="s">
        <v>83</v>
      </c>
      <c r="C24" s="2" t="e">
        <f>FIND("◇",乗換案内検索結果入力シート!$B$8,C22)</f>
        <v>#VALUE!</v>
      </c>
      <c r="D24" s="2" t="s">
        <v>84</v>
      </c>
      <c r="E24" s="2" t="e">
        <f>FIND("｜",乗換案内検索結果入力シート!$B$8,FIND("◇"&amp;C26,乗換案内検索結果入力シート!$B$8))</f>
        <v>#VALUE!</v>
      </c>
      <c r="F24" s="2" t="e">
        <f>MID(乗換案内検索結果入力シート!$B$8,E24+3,E25-E24-4)</f>
        <v>#VALUE!</v>
      </c>
      <c r="G24" s="2" t="s">
        <v>41</v>
      </c>
      <c r="H24" s="2" t="e">
        <f t="shared" ref="H24" si="14">LEFT(F24,FIND(" ",F24)-1)</f>
        <v>#VALUE!</v>
      </c>
    </row>
    <row r="25" spans="1:8" x14ac:dyDescent="0.15">
      <c r="B25" s="2" t="s">
        <v>85</v>
      </c>
      <c r="C25" s="2" t="e">
        <f>FIND(" ",乗換案内検索結果入力シート!$B$8,C24)</f>
        <v>#VALUE!</v>
      </c>
      <c r="D25" s="2" t="s">
        <v>86</v>
      </c>
      <c r="E25" s="2" t="e">
        <f>FIND("｜",乗換案内検索結果入力シート!$B$8,E24+1)</f>
        <v>#VALUE!</v>
      </c>
      <c r="F25" s="2" t="e">
        <f>MID(乗換案内検索結果入力シート!$B$8,E25+3,E26-E25-4)</f>
        <v>#VALUE!</v>
      </c>
      <c r="G25" s="2" t="s">
        <v>28</v>
      </c>
      <c r="H25" s="2" t="e">
        <f t="shared" ref="H25" si="15">MID(F24,LEN(H24)+4,FIND("km",F24,LEN(H24))-LEN(H24)-4)</f>
        <v>#VALUE!</v>
      </c>
    </row>
    <row r="26" spans="1:8" x14ac:dyDescent="0.15">
      <c r="A26" s="2">
        <v>8</v>
      </c>
      <c r="B26" s="5" t="s">
        <v>87</v>
      </c>
      <c r="C26" s="5" t="e">
        <f>MID(乗換案内検索結果入力シート!$B$8,C24+1,C25-C24-1)</f>
        <v>#VALUE!</v>
      </c>
      <c r="D26" s="2" t="s">
        <v>88</v>
      </c>
      <c r="E26" s="2" t="e">
        <f>FIND("｜",乗換案内検索結果入力シート!$B$8,E25+1)</f>
        <v>#VALUE!</v>
      </c>
      <c r="G26" s="2" t="s">
        <v>46</v>
      </c>
      <c r="H26" s="2" t="e">
        <f t="shared" ref="H26" si="16">MID(F25,FIND("［",F25)+1,FIND("］",F25)-FIND("［",F25)-2)</f>
        <v>#VALUE!</v>
      </c>
    </row>
    <row r="27" spans="1:8" x14ac:dyDescent="0.15">
      <c r="B27" s="2" t="s">
        <v>89</v>
      </c>
      <c r="C27" s="2" t="e">
        <f>FIND("◇",乗換案内検索結果入力シート!$B$8,C25)</f>
        <v>#VALUE!</v>
      </c>
      <c r="D27" s="2" t="s">
        <v>90</v>
      </c>
      <c r="E27" s="2" t="e">
        <f>FIND("｜",乗換案内検索結果入力シート!$B$8,FIND("◇"&amp;C29,乗換案内検索結果入力シート!$B$8))</f>
        <v>#VALUE!</v>
      </c>
      <c r="F27" s="2" t="e">
        <f>MID(乗換案内検索結果入力シート!$B$8,E27+3,E28-E27-4)</f>
        <v>#VALUE!</v>
      </c>
      <c r="G27" s="2" t="s">
        <v>41</v>
      </c>
      <c r="H27" s="2" t="e">
        <f t="shared" ref="H27" si="17">LEFT(F27,FIND(" ",F27)-1)</f>
        <v>#VALUE!</v>
      </c>
    </row>
    <row r="28" spans="1:8" x14ac:dyDescent="0.15">
      <c r="B28" s="2" t="s">
        <v>91</v>
      </c>
      <c r="C28" s="2" t="e">
        <f>FIND(" ",乗換案内検索結果入力シート!$B$8,C27)</f>
        <v>#VALUE!</v>
      </c>
      <c r="D28" s="2" t="s">
        <v>92</v>
      </c>
      <c r="E28" s="2" t="e">
        <f>FIND("｜",乗換案内検索結果入力シート!$B$8,E27+1)</f>
        <v>#VALUE!</v>
      </c>
      <c r="F28" s="2" t="e">
        <f>MID(乗換案内検索結果入力シート!$B$8,E28+3,E29-E28-4)</f>
        <v>#VALUE!</v>
      </c>
      <c r="G28" s="2" t="s">
        <v>28</v>
      </c>
      <c r="H28" s="2" t="e">
        <f t="shared" ref="H28" si="18">MID(F27,LEN(H27)+4,FIND("km",F27,LEN(H27))-LEN(H27)-4)</f>
        <v>#VALUE!</v>
      </c>
    </row>
    <row r="29" spans="1:8" x14ac:dyDescent="0.15">
      <c r="A29" s="2">
        <v>9</v>
      </c>
      <c r="B29" s="5" t="s">
        <v>87</v>
      </c>
      <c r="C29" s="5" t="e">
        <f>MID(乗換案内検索結果入力シート!$B$8,C27+1,C28-C27-1)</f>
        <v>#VALUE!</v>
      </c>
      <c r="D29" s="2" t="s">
        <v>94</v>
      </c>
      <c r="E29" s="2" t="e">
        <f>FIND("｜",乗換案内検索結果入力シート!$B$8,E28+1)</f>
        <v>#VALUE!</v>
      </c>
      <c r="G29" s="2" t="s">
        <v>46</v>
      </c>
      <c r="H29" s="2" t="e">
        <f t="shared" ref="H29" si="19">MID(F28,FIND("［",F28)+1,FIND("］",F28)-FIND("［",F28)-2)</f>
        <v>#VALUE!</v>
      </c>
    </row>
    <row r="30" spans="1:8" x14ac:dyDescent="0.15">
      <c r="B30" s="2" t="s">
        <v>95</v>
      </c>
      <c r="C30" s="8" t="e">
        <f>FIND("■",乗換案内検索結果入力シート!$B$8,C3+1)</f>
        <v>#VALUE!</v>
      </c>
      <c r="D30" s="2" t="s">
        <v>96</v>
      </c>
      <c r="E30" s="2" t="e">
        <f>FIND("｜",乗換案内検索結果入力シート!$D$4,FIND("◇"&amp;C32,乗換案内検索結果入力シート!$D$4))</f>
        <v>#VALUE!</v>
      </c>
      <c r="F30" s="2" t="e">
        <f>MID(乗換案内検索結果入力シート!$D$4,E30+3,E31-E30-4)</f>
        <v>#VALUE!</v>
      </c>
      <c r="G30" s="2" t="s">
        <v>41</v>
      </c>
      <c r="H30" s="2" t="e">
        <f t="shared" ref="H30" si="20">LEFT(F30,FIND(" ",F30)-1)</f>
        <v>#VALUE!</v>
      </c>
    </row>
    <row r="31" spans="1:8" x14ac:dyDescent="0.15">
      <c r="B31" s="2" t="s">
        <v>97</v>
      </c>
      <c r="C31" s="8" t="e">
        <f>IFERROR(FIND(" ",乗換案内検索結果入力シート!$B$8,C30),IF(LEN(乗換案内検索結果入力シート!$B$8)=0,#VALUE!,LEN(乗換案内検索結果入力シート!$B$8)+1))</f>
        <v>#VALUE!</v>
      </c>
      <c r="D31" s="2" t="s">
        <v>98</v>
      </c>
      <c r="E31" s="2" t="e">
        <f>FIND("｜",乗換案内検索結果入力シート!$D$4,E30+1)</f>
        <v>#VALUE!</v>
      </c>
      <c r="F31" s="2" t="e">
        <f>MID(乗換案内検索結果入力シート!$D$4,E31+3,E32-E31-4)</f>
        <v>#VALUE!</v>
      </c>
      <c r="G31" s="2" t="s">
        <v>28</v>
      </c>
      <c r="H31" s="2" t="e">
        <f t="shared" ref="H31" si="21">MID(F30,LEN(H30)+4,FIND("km",F30,LEN(H30))-LEN(H30)-4)</f>
        <v>#VALUE!</v>
      </c>
    </row>
    <row r="32" spans="1:8" x14ac:dyDescent="0.15">
      <c r="A32" s="2">
        <v>10</v>
      </c>
      <c r="B32" s="3" t="s">
        <v>99</v>
      </c>
      <c r="C32" s="9" t="e">
        <f>IF(ISERROR(C31),MID(乗換案内検索結果入力シート!$B$8,C30+1,100),MID(乗換案内検索結果入力シート!$B$8,C30+1,C31-C30-1))</f>
        <v>#VALUE!</v>
      </c>
      <c r="D32" s="2" t="s">
        <v>100</v>
      </c>
      <c r="E32" s="2" t="e">
        <f>FIND("｜",乗換案内検索結果入力シート!$D$4,E31+1)</f>
        <v>#VALUE!</v>
      </c>
      <c r="G32" s="2" t="s">
        <v>46</v>
      </c>
      <c r="H32" s="2" t="e">
        <f t="shared" ref="H32" si="22">MID(F31,FIND("［",F31)+1,FIND("］",F31)-FIND("［",F31)-2)</f>
        <v>#VALUE!</v>
      </c>
    </row>
  </sheetData>
  <phoneticPr fontId="8"/>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theme="0" tint="-0.499984740745262"/>
  </sheetPr>
  <dimension ref="A1:H32"/>
  <sheetViews>
    <sheetView zoomScale="85" zoomScaleNormal="85" workbookViewId="0"/>
  </sheetViews>
  <sheetFormatPr defaultColWidth="10" defaultRowHeight="13.5" x14ac:dyDescent="0.15"/>
  <cols>
    <col min="1" max="1" width="4" style="2" customWidth="1"/>
    <col min="2" max="2" width="24.5" style="2" customWidth="1"/>
    <col min="3" max="3" width="35" style="2" customWidth="1"/>
    <col min="4" max="4" width="14.5" style="2" customWidth="1"/>
    <col min="5" max="5" width="10.125" style="2" customWidth="1"/>
    <col min="6" max="6" width="64.5" style="2" customWidth="1"/>
    <col min="7" max="7" width="5.75" style="2" customWidth="1"/>
    <col min="8" max="8" width="53.375" style="2" customWidth="1"/>
    <col min="9" max="16384" width="10" style="2"/>
  </cols>
  <sheetData>
    <row r="1" spans="1:8" x14ac:dyDescent="0.15">
      <c r="B1" s="2" t="s">
        <v>38</v>
      </c>
      <c r="C1" s="2">
        <f>10-COUNTIF($C$3:$C$32,"#VALUE!")/3</f>
        <v>0</v>
      </c>
    </row>
    <row r="3" spans="1:8" x14ac:dyDescent="0.15">
      <c r="B3" s="2" t="s">
        <v>39</v>
      </c>
      <c r="C3" s="2" t="e">
        <f>FIND("■",乗換案内検索結果入力シート!$D$8,1)</f>
        <v>#VALUE!</v>
      </c>
      <c r="D3" s="2" t="s">
        <v>40</v>
      </c>
      <c r="E3" s="2" t="e">
        <f>FIND("｜",乗換案内検索結果入力シート!$D$8,FIND("■"&amp;C5,乗換案内検索結果入力シート!$D$8))</f>
        <v>#VALUE!</v>
      </c>
      <c r="F3" s="2" t="e">
        <f>MID(乗換案内検索結果入力シート!$D$8,E3+3,E4-E3-4)</f>
        <v>#VALUE!</v>
      </c>
      <c r="G3" s="2" t="s">
        <v>41</v>
      </c>
      <c r="H3" s="2" t="e">
        <f>LEFT(F3,FIND(" ",F3)-1)</f>
        <v>#VALUE!</v>
      </c>
    </row>
    <row r="4" spans="1:8" x14ac:dyDescent="0.15">
      <c r="B4" s="2" t="s">
        <v>42</v>
      </c>
      <c r="C4" s="2" t="e">
        <f>FIND(" ",乗換案内検索結果入力シート!$D$8,C3)</f>
        <v>#VALUE!</v>
      </c>
      <c r="D4" s="2" t="s">
        <v>43</v>
      </c>
      <c r="E4" s="2" t="e">
        <f>FIND("｜",乗換案内検索結果入力シート!$D$8,E3+1)</f>
        <v>#VALUE!</v>
      </c>
      <c r="F4" s="2" t="e">
        <f>MID(乗換案内検索結果入力シート!$D$8,E4+3,E5-E4-4)</f>
        <v>#VALUE!</v>
      </c>
      <c r="G4" s="2" t="s">
        <v>28</v>
      </c>
      <c r="H4" s="2" t="e">
        <f>MID(F3,LEN(H3)+4,FIND("km",F3,LEN(H3))-LEN(H3)-4)</f>
        <v>#VALUE!</v>
      </c>
    </row>
    <row r="5" spans="1:8" x14ac:dyDescent="0.15">
      <c r="A5" s="2">
        <v>1</v>
      </c>
      <c r="B5" s="3" t="s">
        <v>44</v>
      </c>
      <c r="C5" s="4" t="e">
        <f>MID(乗換案内検索結果入力シート!$D$8,C3+1,C4-C3-1)</f>
        <v>#VALUE!</v>
      </c>
      <c r="D5" s="2" t="s">
        <v>45</v>
      </c>
      <c r="E5" s="2" t="e">
        <f>FIND("｜",乗換案内検索結果入力シート!$D$8,E4+1)</f>
        <v>#VALUE!</v>
      </c>
      <c r="G5" s="2" t="s">
        <v>46</v>
      </c>
      <c r="H5" s="2" t="e">
        <f>MID(F4,FIND("［",F4)+1,FIND("］",F4)-FIND("［",F4)-2)</f>
        <v>#VALUE!</v>
      </c>
    </row>
    <row r="6" spans="1:8" x14ac:dyDescent="0.15">
      <c r="B6" s="2" t="s">
        <v>47</v>
      </c>
      <c r="C6" s="2" t="e">
        <f>FIND("◇",乗換案内検索結果入力シート!$D$8,C4)</f>
        <v>#VALUE!</v>
      </c>
      <c r="D6" s="2" t="s">
        <v>48</v>
      </c>
      <c r="E6" s="2" t="e">
        <f>FIND("｜",乗換案内検索結果入力シート!$D$8,FIND("◇"&amp;C8,乗換案内検索結果入力シート!$D$8))</f>
        <v>#VALUE!</v>
      </c>
      <c r="F6" s="2" t="e">
        <f>MID(乗換案内検索結果入力シート!$D$8,E6+3,E7-E6-4)</f>
        <v>#VALUE!</v>
      </c>
      <c r="G6" s="2" t="s">
        <v>41</v>
      </c>
      <c r="H6" s="2" t="e">
        <f>LEFT(F6,FIND(" ",F6)-1)</f>
        <v>#VALUE!</v>
      </c>
    </row>
    <row r="7" spans="1:8" x14ac:dyDescent="0.15">
      <c r="B7" s="2" t="s">
        <v>49</v>
      </c>
      <c r="C7" s="2" t="e">
        <f>FIND(" ",乗換案内検索結果入力シート!$D$8,C6)</f>
        <v>#VALUE!</v>
      </c>
      <c r="D7" s="2" t="s">
        <v>50</v>
      </c>
      <c r="E7" s="2" t="e">
        <f>FIND("｜",乗換案内検索結果入力シート!$D$8,E6+1)</f>
        <v>#VALUE!</v>
      </c>
      <c r="F7" s="2" t="e">
        <f>MID(乗換案内検索結果入力シート!$D$8,E7+3,E8-E7-4)</f>
        <v>#VALUE!</v>
      </c>
      <c r="G7" s="2" t="s">
        <v>28</v>
      </c>
      <c r="H7" s="2" t="e">
        <f>MID(F6,LEN(H6)+4,FIND("km",F6,LEN(H6))-LEN(H6)-4)</f>
        <v>#VALUE!</v>
      </c>
    </row>
    <row r="8" spans="1:8" x14ac:dyDescent="0.15">
      <c r="A8" s="2">
        <v>2</v>
      </c>
      <c r="B8" s="5" t="s">
        <v>51</v>
      </c>
      <c r="C8" s="5" t="e">
        <f>MID(乗換案内検索結果入力シート!$D$8,C6+1,C7-C6-1)</f>
        <v>#VALUE!</v>
      </c>
      <c r="D8" s="2" t="s">
        <v>52</v>
      </c>
      <c r="E8" s="2" t="e">
        <f>FIND("｜",乗換案内検索結果入力シート!$D$8,E7+1)</f>
        <v>#VALUE!</v>
      </c>
      <c r="G8" s="2" t="s">
        <v>46</v>
      </c>
      <c r="H8" s="2" t="e">
        <f>MID(F7,FIND("［",F7)+1,FIND("］",F7)-FIND("［",F7)-2)</f>
        <v>#VALUE!</v>
      </c>
    </row>
    <row r="9" spans="1:8" x14ac:dyDescent="0.15">
      <c r="B9" s="2" t="s">
        <v>53</v>
      </c>
      <c r="C9" s="2" t="e">
        <f>FIND("◇",乗換案内検索結果入力シート!$D$8,C7)</f>
        <v>#VALUE!</v>
      </c>
      <c r="D9" s="2" t="s">
        <v>54</v>
      </c>
      <c r="E9" s="2" t="e">
        <f>FIND("｜",乗換案内検索結果入力シート!$D$8,FIND("◇"&amp;C11,乗換案内検索結果入力シート!$D$8))</f>
        <v>#VALUE!</v>
      </c>
      <c r="F9" s="2" t="e">
        <f>MID(乗換案内検索結果入力シート!$D$8,E9+3,E10-E9-4)</f>
        <v>#VALUE!</v>
      </c>
      <c r="G9" s="2" t="s">
        <v>41</v>
      </c>
      <c r="H9" s="2" t="e">
        <f t="shared" ref="H9" si="0">LEFT(F9,FIND(" ",F9)-1)</f>
        <v>#VALUE!</v>
      </c>
    </row>
    <row r="10" spans="1:8" x14ac:dyDescent="0.15">
      <c r="B10" s="2" t="s">
        <v>55</v>
      </c>
      <c r="C10" s="2" t="e">
        <f>FIND(" ",乗換案内検索結果入力シート!$D$8,C9)</f>
        <v>#VALUE!</v>
      </c>
      <c r="D10" s="2" t="s">
        <v>56</v>
      </c>
      <c r="E10" s="2" t="e">
        <f>FIND("｜",乗換案内検索結果入力シート!$D$8,E9+1)</f>
        <v>#VALUE!</v>
      </c>
      <c r="F10" s="2" t="e">
        <f>MID(乗換案内検索結果入力シート!$D$8,E10+3,E11-E10-4)</f>
        <v>#VALUE!</v>
      </c>
      <c r="G10" s="2" t="s">
        <v>28</v>
      </c>
      <c r="H10" s="2" t="e">
        <f t="shared" ref="H10" si="1">MID(F9,LEN(H9)+4,FIND("km",F9,LEN(H9))-LEN(H9)-4)</f>
        <v>#VALUE!</v>
      </c>
    </row>
    <row r="11" spans="1:8" x14ac:dyDescent="0.15">
      <c r="A11" s="2">
        <v>3</v>
      </c>
      <c r="B11" s="5" t="s">
        <v>57</v>
      </c>
      <c r="C11" s="5" t="e">
        <f>MID(乗換案内検索結果入力シート!$D$8,C9+1,C10-C9-1)</f>
        <v>#VALUE!</v>
      </c>
      <c r="D11" s="2" t="s">
        <v>58</v>
      </c>
      <c r="E11" s="2" t="e">
        <f>FIND("｜",乗換案内検索結果入力シート!$D$8,E10+1)</f>
        <v>#VALUE!</v>
      </c>
      <c r="G11" s="2" t="s">
        <v>46</v>
      </c>
      <c r="H11" s="2" t="e">
        <f t="shared" ref="H11" si="2">MID(F10,FIND("［",F10)+1,FIND("］",F10)-FIND("［",F10)-2)</f>
        <v>#VALUE!</v>
      </c>
    </row>
    <row r="12" spans="1:8" x14ac:dyDescent="0.15">
      <c r="B12" s="2" t="s">
        <v>59</v>
      </c>
      <c r="C12" s="2" t="e">
        <f>FIND("◇",乗換案内検索結果入力シート!$D$8,C10)</f>
        <v>#VALUE!</v>
      </c>
      <c r="D12" s="2" t="s">
        <v>60</v>
      </c>
      <c r="E12" s="2" t="e">
        <f>FIND("｜",乗換案内検索結果入力シート!$D$8,FIND("◇"&amp;C14,乗換案内検索結果入力シート!$D$8))</f>
        <v>#VALUE!</v>
      </c>
      <c r="F12" s="2" t="e">
        <f>MID(乗換案内検索結果入力シート!$D$8,E12+3,E13-E12-4)</f>
        <v>#VALUE!</v>
      </c>
      <c r="G12" s="2" t="s">
        <v>41</v>
      </c>
      <c r="H12" s="2" t="e">
        <f t="shared" ref="H12" si="3">LEFT(F12,FIND(" ",F12)-1)</f>
        <v>#VALUE!</v>
      </c>
    </row>
    <row r="13" spans="1:8" x14ac:dyDescent="0.15">
      <c r="B13" s="2" t="s">
        <v>61</v>
      </c>
      <c r="C13" s="2" t="e">
        <f>FIND(" ",乗換案内検索結果入力シート!$D$8,C12)</f>
        <v>#VALUE!</v>
      </c>
      <c r="D13" s="2" t="s">
        <v>62</v>
      </c>
      <c r="E13" s="2" t="e">
        <f>FIND("｜",乗換案内検索結果入力シート!$D$8,E12+1)</f>
        <v>#VALUE!</v>
      </c>
      <c r="F13" s="2" t="e">
        <f>MID(乗換案内検索結果入力シート!$D$8,E13+3,E14-E13-4)</f>
        <v>#VALUE!</v>
      </c>
      <c r="G13" s="2" t="s">
        <v>28</v>
      </c>
      <c r="H13" s="2" t="e">
        <f t="shared" ref="H13" si="4">MID(F12,LEN(H12)+4,FIND("km",F12,LEN(H12))-LEN(H12)-4)</f>
        <v>#VALUE!</v>
      </c>
    </row>
    <row r="14" spans="1:8" x14ac:dyDescent="0.15">
      <c r="A14" s="2">
        <v>4</v>
      </c>
      <c r="B14" s="5" t="s">
        <v>63</v>
      </c>
      <c r="C14" s="5" t="e">
        <f>MID(乗換案内検索結果入力シート!$D$8,C12+1,C13-C12-1)</f>
        <v>#VALUE!</v>
      </c>
      <c r="D14" s="2" t="s">
        <v>64</v>
      </c>
      <c r="E14" s="2" t="e">
        <f>FIND("｜",乗換案内検索結果入力シート!$D$8,E13+1)</f>
        <v>#VALUE!</v>
      </c>
      <c r="G14" s="2" t="s">
        <v>46</v>
      </c>
      <c r="H14" s="2" t="e">
        <f t="shared" ref="H14" si="5">MID(F13,FIND("［",F13)+1,FIND("］",F13)-FIND("［",F13)-2)</f>
        <v>#VALUE!</v>
      </c>
    </row>
    <row r="15" spans="1:8" x14ac:dyDescent="0.15">
      <c r="B15" s="2" t="s">
        <v>65</v>
      </c>
      <c r="C15" s="2" t="e">
        <f>FIND("◇",乗換案内検索結果入力シート!$D$8,C13)</f>
        <v>#VALUE!</v>
      </c>
      <c r="D15" s="2" t="s">
        <v>66</v>
      </c>
      <c r="E15" s="2" t="e">
        <f>FIND("｜",乗換案内検索結果入力シート!$D$8,FIND("◇"&amp;C17,乗換案内検索結果入力シート!$D$8))</f>
        <v>#VALUE!</v>
      </c>
      <c r="F15" s="2" t="e">
        <f>MID(乗換案内検索結果入力シート!$D$8,E15+3,E16-E15-4)</f>
        <v>#VALUE!</v>
      </c>
      <c r="G15" s="2" t="s">
        <v>41</v>
      </c>
      <c r="H15" s="2" t="e">
        <f t="shared" ref="H15" si="6">LEFT(F15,FIND(" ",F15)-1)</f>
        <v>#VALUE!</v>
      </c>
    </row>
    <row r="16" spans="1:8" x14ac:dyDescent="0.15">
      <c r="B16" s="2" t="s">
        <v>67</v>
      </c>
      <c r="C16" s="2" t="e">
        <f>FIND(" ",乗換案内検索結果入力シート!$D$8,C15)</f>
        <v>#VALUE!</v>
      </c>
      <c r="D16" s="2" t="s">
        <v>68</v>
      </c>
      <c r="E16" s="2" t="e">
        <f>FIND("｜",乗換案内検索結果入力シート!$D$8,E15+1)</f>
        <v>#VALUE!</v>
      </c>
      <c r="F16" s="2" t="e">
        <f>MID(乗換案内検索結果入力シート!$D$8,E16+3,E17-E16-4)</f>
        <v>#VALUE!</v>
      </c>
      <c r="G16" s="2" t="s">
        <v>28</v>
      </c>
      <c r="H16" s="2" t="e">
        <f t="shared" ref="H16" si="7">MID(F15,LEN(H15)+4,FIND("km",F15,LEN(H15))-LEN(H15)-4)</f>
        <v>#VALUE!</v>
      </c>
    </row>
    <row r="17" spans="1:8" x14ac:dyDescent="0.15">
      <c r="A17" s="2">
        <v>5</v>
      </c>
      <c r="B17" s="5" t="s">
        <v>69</v>
      </c>
      <c r="C17" s="5" t="e">
        <f>MID(乗換案内検索結果入力シート!$D$8,C15+1,C16-C15-1)</f>
        <v>#VALUE!</v>
      </c>
      <c r="D17" s="2" t="s">
        <v>70</v>
      </c>
      <c r="E17" s="2" t="e">
        <f>FIND("｜",乗換案内検索結果入力シート!$D$8,E16+1)</f>
        <v>#VALUE!</v>
      </c>
      <c r="G17" s="2" t="s">
        <v>46</v>
      </c>
      <c r="H17" s="2" t="e">
        <f t="shared" ref="H17" si="8">MID(F16,FIND("［",F16)+1,FIND("］",F16)-FIND("［",F16)-2)</f>
        <v>#VALUE!</v>
      </c>
    </row>
    <row r="18" spans="1:8" x14ac:dyDescent="0.15">
      <c r="B18" s="2" t="s">
        <v>71</v>
      </c>
      <c r="C18" s="2" t="e">
        <f>FIND("◇",乗換案内検索結果入力シート!$D$8,C16)</f>
        <v>#VALUE!</v>
      </c>
      <c r="D18" s="2" t="s">
        <v>72</v>
      </c>
      <c r="E18" s="2" t="e">
        <f>FIND("｜",乗換案内検索結果入力シート!$D$8,FIND("◇"&amp;C20,乗換案内検索結果入力シート!$D$8))</f>
        <v>#VALUE!</v>
      </c>
      <c r="F18" s="2" t="e">
        <f>MID(乗換案内検索結果入力シート!$D$8,E18+3,E19-E18-4)</f>
        <v>#VALUE!</v>
      </c>
      <c r="G18" s="2" t="s">
        <v>41</v>
      </c>
      <c r="H18" s="2" t="e">
        <f t="shared" ref="H18" si="9">LEFT(F18,FIND(" ",F18)-1)</f>
        <v>#VALUE!</v>
      </c>
    </row>
    <row r="19" spans="1:8" x14ac:dyDescent="0.15">
      <c r="B19" s="2" t="s">
        <v>73</v>
      </c>
      <c r="C19" s="2" t="e">
        <f>FIND(" ",乗換案内検索結果入力シート!$D$8,C18)</f>
        <v>#VALUE!</v>
      </c>
      <c r="D19" s="2" t="s">
        <v>74</v>
      </c>
      <c r="E19" s="2" t="e">
        <f>FIND("｜",乗換案内検索結果入力シート!$D$8,E18+1)</f>
        <v>#VALUE!</v>
      </c>
      <c r="F19" s="2" t="e">
        <f>MID(乗換案内検索結果入力シート!$D$8,E19+3,E20-E19-4)</f>
        <v>#VALUE!</v>
      </c>
      <c r="G19" s="2" t="s">
        <v>28</v>
      </c>
      <c r="H19" s="2" t="e">
        <f t="shared" ref="H19" si="10">MID(F18,LEN(H18)+4,FIND("km",F18,LEN(H18))-LEN(H18)-4)</f>
        <v>#VALUE!</v>
      </c>
    </row>
    <row r="20" spans="1:8" x14ac:dyDescent="0.15">
      <c r="A20" s="2">
        <v>6</v>
      </c>
      <c r="B20" s="5" t="s">
        <v>75</v>
      </c>
      <c r="C20" s="5" t="e">
        <f>MID(乗換案内検索結果入力シート!$D$8,C18+1,C19-C18-1)</f>
        <v>#VALUE!</v>
      </c>
      <c r="D20" s="2" t="s">
        <v>76</v>
      </c>
      <c r="E20" s="2" t="e">
        <f>FIND("｜",乗換案内検索結果入力シート!$D$8,E19+1)</f>
        <v>#VALUE!</v>
      </c>
      <c r="G20" s="2" t="s">
        <v>46</v>
      </c>
      <c r="H20" s="2" t="e">
        <f t="shared" ref="H20" si="11">MID(F19,FIND("［",F19)+1,FIND("］",F19)-FIND("［",F19)-2)</f>
        <v>#VALUE!</v>
      </c>
    </row>
    <row r="21" spans="1:8" x14ac:dyDescent="0.15">
      <c r="B21" s="2" t="s">
        <v>77</v>
      </c>
      <c r="C21" s="2" t="e">
        <f>FIND("◇",乗換案内検索結果入力シート!$D$8,C19)</f>
        <v>#VALUE!</v>
      </c>
      <c r="D21" s="2" t="s">
        <v>78</v>
      </c>
      <c r="E21" s="2" t="e">
        <f>FIND("｜",乗換案内検索結果入力シート!$D$8,FIND("◇"&amp;C23,乗換案内検索結果入力シート!$D$8))</f>
        <v>#VALUE!</v>
      </c>
      <c r="F21" s="2" t="e">
        <f>MID(乗換案内検索結果入力シート!$D$8,E21+3,E22-E21-4)</f>
        <v>#VALUE!</v>
      </c>
      <c r="G21" s="2" t="s">
        <v>41</v>
      </c>
      <c r="H21" s="2" t="e">
        <f t="shared" ref="H21" si="12">LEFT(F21,FIND(" ",F21)-1)</f>
        <v>#VALUE!</v>
      </c>
    </row>
    <row r="22" spans="1:8" x14ac:dyDescent="0.15">
      <c r="B22" s="2" t="s">
        <v>79</v>
      </c>
      <c r="C22" s="2" t="e">
        <f>FIND(" ",乗換案内検索結果入力シート!$D$8,C21)</f>
        <v>#VALUE!</v>
      </c>
      <c r="D22" s="2" t="s">
        <v>80</v>
      </c>
      <c r="E22" s="2" t="e">
        <f>FIND("｜",乗換案内検索結果入力シート!$D$8,E21+1)</f>
        <v>#VALUE!</v>
      </c>
      <c r="F22" s="2" t="e">
        <f>MID(乗換案内検索結果入力シート!$D$8,E22+3,E23-E22-4)</f>
        <v>#VALUE!</v>
      </c>
      <c r="G22" s="2" t="s">
        <v>28</v>
      </c>
      <c r="H22" s="2" t="e">
        <f t="shared" ref="H22" si="13">MID(F21,LEN(H21)+4,FIND("km",F21,LEN(H21))-LEN(H21)-4)</f>
        <v>#VALUE!</v>
      </c>
    </row>
    <row r="23" spans="1:8" x14ac:dyDescent="0.15">
      <c r="A23" s="2">
        <v>7</v>
      </c>
      <c r="B23" s="5" t="s">
        <v>81</v>
      </c>
      <c r="C23" s="5" t="e">
        <f>MID(乗換案内検索結果入力シート!$D$8,C21+1,C22-C21-1)</f>
        <v>#VALUE!</v>
      </c>
      <c r="D23" s="2" t="s">
        <v>82</v>
      </c>
      <c r="E23" s="2" t="e">
        <f>FIND("｜",乗換案内検索結果入力シート!$D$8,E22+1)</f>
        <v>#VALUE!</v>
      </c>
      <c r="G23" s="2" t="s">
        <v>46</v>
      </c>
      <c r="H23" s="2" t="e">
        <f t="shared" ref="H23" si="14">MID(F22,FIND("［",F22)+1,FIND("］",F22)-FIND("［",F22)-2)</f>
        <v>#VALUE!</v>
      </c>
    </row>
    <row r="24" spans="1:8" x14ac:dyDescent="0.15">
      <c r="B24" s="2" t="s">
        <v>83</v>
      </c>
      <c r="C24" s="2" t="e">
        <f>FIND("◇",乗換案内検索結果入力シート!$D$8,C22)</f>
        <v>#VALUE!</v>
      </c>
      <c r="D24" s="2" t="s">
        <v>84</v>
      </c>
      <c r="E24" s="2" t="e">
        <f>FIND("｜",乗換案内検索結果入力シート!$D$8,FIND("◇"&amp;C26,乗換案内検索結果入力シート!$D$8))</f>
        <v>#VALUE!</v>
      </c>
      <c r="F24" s="2" t="e">
        <f>MID(乗換案内検索結果入力シート!$D$8,E24+3,E25-E24-4)</f>
        <v>#VALUE!</v>
      </c>
      <c r="G24" s="2" t="s">
        <v>41</v>
      </c>
      <c r="H24" s="2" t="e">
        <f t="shared" ref="H24" si="15">LEFT(F24,FIND(" ",F24)-1)</f>
        <v>#VALUE!</v>
      </c>
    </row>
    <row r="25" spans="1:8" x14ac:dyDescent="0.15">
      <c r="B25" s="2" t="s">
        <v>85</v>
      </c>
      <c r="C25" s="2" t="e">
        <f>FIND(" ",乗換案内検索結果入力シート!$D$8,C24)</f>
        <v>#VALUE!</v>
      </c>
      <c r="D25" s="2" t="s">
        <v>86</v>
      </c>
      <c r="E25" s="2" t="e">
        <f>FIND("｜",乗換案内検索結果入力シート!$D$8,E24+1)</f>
        <v>#VALUE!</v>
      </c>
      <c r="F25" s="2" t="e">
        <f>MID(乗換案内検索結果入力シート!$D$8,E25+3,E26-E25-4)</f>
        <v>#VALUE!</v>
      </c>
      <c r="G25" s="2" t="s">
        <v>28</v>
      </c>
      <c r="H25" s="2" t="e">
        <f t="shared" ref="H25" si="16">MID(F24,LEN(H24)+4,FIND("km",F24,LEN(H24))-LEN(H24)-4)</f>
        <v>#VALUE!</v>
      </c>
    </row>
    <row r="26" spans="1:8" x14ac:dyDescent="0.15">
      <c r="A26" s="2">
        <v>8</v>
      </c>
      <c r="B26" s="5" t="s">
        <v>87</v>
      </c>
      <c r="C26" s="5" t="e">
        <f>MID(乗換案内検索結果入力シート!$D$8,C24+1,C25-C24-1)</f>
        <v>#VALUE!</v>
      </c>
      <c r="D26" s="2" t="s">
        <v>88</v>
      </c>
      <c r="E26" s="2" t="e">
        <f>FIND("｜",乗換案内検索結果入力シート!$D$8,E25+1)</f>
        <v>#VALUE!</v>
      </c>
      <c r="G26" s="2" t="s">
        <v>46</v>
      </c>
      <c r="H26" s="2" t="e">
        <f t="shared" ref="H26" si="17">MID(F25,FIND("［",F25)+1,FIND("］",F25)-FIND("［",F25)-2)</f>
        <v>#VALUE!</v>
      </c>
    </row>
    <row r="27" spans="1:8" x14ac:dyDescent="0.15">
      <c r="B27" s="2" t="s">
        <v>89</v>
      </c>
      <c r="C27" s="2" t="e">
        <f>FIND("◇",乗換案内検索結果入力シート!$D$8,C25)</f>
        <v>#VALUE!</v>
      </c>
      <c r="D27" s="2" t="s">
        <v>90</v>
      </c>
      <c r="E27" s="2" t="e">
        <f>FIND("｜",乗換案内検索結果入力シート!$D$8,FIND("◇"&amp;C29,乗換案内検索結果入力シート!$D$8))</f>
        <v>#VALUE!</v>
      </c>
      <c r="F27" s="2" t="e">
        <f>MID(乗換案内検索結果入力シート!$D$8,E27+3,E28-E27-4)</f>
        <v>#VALUE!</v>
      </c>
      <c r="G27" s="2" t="s">
        <v>41</v>
      </c>
      <c r="H27" s="2" t="e">
        <f t="shared" ref="H27" si="18">LEFT(F27,FIND(" ",F27)-1)</f>
        <v>#VALUE!</v>
      </c>
    </row>
    <row r="28" spans="1:8" x14ac:dyDescent="0.15">
      <c r="B28" s="2" t="s">
        <v>91</v>
      </c>
      <c r="C28" s="2" t="e">
        <f>FIND(" ",乗換案内検索結果入力シート!$D$8,C27)</f>
        <v>#VALUE!</v>
      </c>
      <c r="D28" s="2" t="s">
        <v>92</v>
      </c>
      <c r="E28" s="2" t="e">
        <f>FIND("｜",乗換案内検索結果入力シート!$D$8,E27+1)</f>
        <v>#VALUE!</v>
      </c>
      <c r="F28" s="2" t="e">
        <f>MID(乗換案内検索結果入力シート!$D$8,E28+3,E29-E28-4)</f>
        <v>#VALUE!</v>
      </c>
      <c r="G28" s="2" t="s">
        <v>28</v>
      </c>
      <c r="H28" s="2" t="e">
        <f t="shared" ref="H28" si="19">MID(F27,LEN(H27)+4,FIND("km",F27,LEN(H27))-LEN(H27)-4)</f>
        <v>#VALUE!</v>
      </c>
    </row>
    <row r="29" spans="1:8" x14ac:dyDescent="0.15">
      <c r="A29" s="2">
        <v>9</v>
      </c>
      <c r="B29" s="5" t="s">
        <v>93</v>
      </c>
      <c r="C29" s="5" t="e">
        <f>MID(乗換案内検索結果入力シート!$D$8,C27+1,C28-C27-1)</f>
        <v>#VALUE!</v>
      </c>
      <c r="D29" s="2" t="s">
        <v>94</v>
      </c>
      <c r="E29" s="2" t="e">
        <f>FIND("｜",乗換案内検索結果入力シート!$D$8,E28+1)</f>
        <v>#VALUE!</v>
      </c>
      <c r="G29" s="2" t="s">
        <v>46</v>
      </c>
      <c r="H29" s="2" t="e">
        <f t="shared" ref="H29" si="20">MID(F28,FIND("［",F28)+1,FIND("］",F28)-FIND("［",F28)-2)</f>
        <v>#VALUE!</v>
      </c>
    </row>
    <row r="30" spans="1:8" x14ac:dyDescent="0.15">
      <c r="B30" s="2" t="s">
        <v>95</v>
      </c>
      <c r="C30" s="2" t="e">
        <f>FIND("■",乗換案内検索結果入力シート!$D$8,C3+1)</f>
        <v>#VALUE!</v>
      </c>
      <c r="D30" s="2" t="s">
        <v>96</v>
      </c>
      <c r="E30" s="2" t="e">
        <f>FIND("｜",乗換案内検索結果入力シート!$D$8,FIND("◇"&amp;C32,乗換案内検索結果入力シート!$D$8))</f>
        <v>#VALUE!</v>
      </c>
      <c r="F30" s="2" t="e">
        <f>MID(乗換案内検索結果入力シート!$D$8,E30+3,E31-E30-4)</f>
        <v>#VALUE!</v>
      </c>
      <c r="G30" s="2" t="s">
        <v>41</v>
      </c>
      <c r="H30" s="2" t="e">
        <f t="shared" ref="H30" si="21">LEFT(F30,FIND(" ",F30)-1)</f>
        <v>#VALUE!</v>
      </c>
    </row>
    <row r="31" spans="1:8" x14ac:dyDescent="0.15">
      <c r="B31" s="2" t="s">
        <v>97</v>
      </c>
      <c r="C31" s="2" t="e">
        <f>IFERROR(FIND(" ",乗換案内検索結果入力シート!$D$8,C30),IF(LEN(乗換案内検索結果入力シート!$D$8)=0,#VALUE!,LEN(乗換案内検索結果入力シート!$D$8)+1))</f>
        <v>#VALUE!</v>
      </c>
      <c r="D31" s="2" t="s">
        <v>98</v>
      </c>
      <c r="E31" s="2" t="e">
        <f>FIND("｜",乗換案内検索結果入力シート!$D$8,E30+1)</f>
        <v>#VALUE!</v>
      </c>
      <c r="F31" s="2" t="e">
        <f>MID(乗換案内検索結果入力シート!$D$8,E31+3,E32-E31-4)</f>
        <v>#VALUE!</v>
      </c>
      <c r="G31" s="2" t="s">
        <v>28</v>
      </c>
      <c r="H31" s="2" t="e">
        <f t="shared" ref="H31" si="22">MID(F30,LEN(H30)+4,FIND("km",F30,LEN(H30))-LEN(H30)-4)</f>
        <v>#VALUE!</v>
      </c>
    </row>
    <row r="32" spans="1:8" x14ac:dyDescent="0.15">
      <c r="A32" s="2">
        <v>10</v>
      </c>
      <c r="B32" s="3" t="s">
        <v>99</v>
      </c>
      <c r="C32" s="3" t="e">
        <f>IF(ISERROR(C31),MID(乗換案内検索結果入力シート!$D$8,C30+1,100),MID(乗換案内検索結果入力シート!$D$8,C30+1,C31-C30-1))</f>
        <v>#VALUE!</v>
      </c>
      <c r="D32" s="2" t="s">
        <v>100</v>
      </c>
      <c r="E32" s="2" t="e">
        <f>FIND("｜",乗換案内検索結果入力シート!$D$8,E31+1)</f>
        <v>#VALUE!</v>
      </c>
      <c r="G32" s="2" t="s">
        <v>46</v>
      </c>
      <c r="H32" s="2" t="e">
        <f t="shared" ref="H32" si="23">MID(F31,FIND("［",F31)+1,FIND("］",F31)-FIND("［",F31)-2)</f>
        <v>#VALUE!</v>
      </c>
    </row>
  </sheetData>
  <phoneticPr fontId="8"/>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84740745262"/>
  </sheetPr>
  <dimension ref="A1:H32"/>
  <sheetViews>
    <sheetView zoomScale="85" zoomScaleNormal="85" workbookViewId="0"/>
  </sheetViews>
  <sheetFormatPr defaultColWidth="10" defaultRowHeight="13.5" x14ac:dyDescent="0.15"/>
  <cols>
    <col min="1" max="1" width="4" style="2" customWidth="1"/>
    <col min="2" max="2" width="24.5" style="2" customWidth="1"/>
    <col min="3" max="3" width="35" style="2" customWidth="1"/>
    <col min="4" max="4" width="14.5" style="2" customWidth="1"/>
    <col min="5" max="5" width="10.125" style="2" customWidth="1"/>
    <col min="6" max="6" width="64.5" style="2" customWidth="1"/>
    <col min="7" max="7" width="5.75" style="2" customWidth="1"/>
    <col min="8" max="8" width="53.375" style="2" customWidth="1"/>
    <col min="9" max="16384" width="10" style="2"/>
  </cols>
  <sheetData>
    <row r="1" spans="1:8" x14ac:dyDescent="0.15">
      <c r="B1" s="2" t="s">
        <v>38</v>
      </c>
      <c r="C1" s="2">
        <f>10-COUNTIF($C$3:$C$32,"#VALUE!")/3</f>
        <v>0</v>
      </c>
    </row>
    <row r="3" spans="1:8" x14ac:dyDescent="0.15">
      <c r="B3" s="2" t="s">
        <v>39</v>
      </c>
      <c r="C3" s="2" t="e">
        <f>FIND("■",乗換案内検索結果入力シート!$F$8,1)</f>
        <v>#VALUE!</v>
      </c>
      <c r="D3" s="2" t="s">
        <v>40</v>
      </c>
      <c r="E3" s="2" t="e">
        <f>FIND("｜",乗換案内検索結果入力シート!$F$8,FIND("■"&amp;C5,乗換案内検索結果入力シート!$F$8))</f>
        <v>#VALUE!</v>
      </c>
      <c r="F3" s="2" t="e">
        <f>MID(乗換案内検索結果入力シート!$F$8,E3+3,E4-E3-4)</f>
        <v>#VALUE!</v>
      </c>
      <c r="G3" s="2" t="s">
        <v>41</v>
      </c>
      <c r="H3" s="2" t="e">
        <f>LEFT(F3,FIND(" ",F3)-1)</f>
        <v>#VALUE!</v>
      </c>
    </row>
    <row r="4" spans="1:8" x14ac:dyDescent="0.15">
      <c r="B4" s="2" t="s">
        <v>42</v>
      </c>
      <c r="C4" s="2" t="e">
        <f>FIND(" ",乗換案内検索結果入力シート!$F$8,C3)</f>
        <v>#VALUE!</v>
      </c>
      <c r="D4" s="2" t="s">
        <v>43</v>
      </c>
      <c r="E4" s="2" t="e">
        <f>FIND("｜",乗換案内検索結果入力シート!$F$8,E3+1)</f>
        <v>#VALUE!</v>
      </c>
      <c r="F4" s="2" t="e">
        <f>MID(乗換案内検索結果入力シート!$F$8,E4+3,E5-E4-4)</f>
        <v>#VALUE!</v>
      </c>
      <c r="G4" s="2" t="s">
        <v>28</v>
      </c>
      <c r="H4" s="2" t="e">
        <f>MID(F3,LEN(H3)+4,FIND("km",F3,LEN(H3))-LEN(H3)-4)</f>
        <v>#VALUE!</v>
      </c>
    </row>
    <row r="5" spans="1:8" x14ac:dyDescent="0.15">
      <c r="A5" s="2">
        <v>1</v>
      </c>
      <c r="B5" s="3" t="s">
        <v>44</v>
      </c>
      <c r="C5" s="4" t="e">
        <f>MID(乗換案内検索結果入力シート!$F$8,C3+1,C4-C3-1)</f>
        <v>#VALUE!</v>
      </c>
      <c r="D5" s="2" t="s">
        <v>45</v>
      </c>
      <c r="E5" s="2" t="e">
        <f>FIND("｜",乗換案内検索結果入力シート!$F$8,E4+1)</f>
        <v>#VALUE!</v>
      </c>
      <c r="G5" s="2" t="s">
        <v>46</v>
      </c>
      <c r="H5" s="2" t="e">
        <f>MID(F4,FIND("［",F4)+1,FIND("］",F4)-FIND("［",F4)-2)</f>
        <v>#VALUE!</v>
      </c>
    </row>
    <row r="6" spans="1:8" x14ac:dyDescent="0.15">
      <c r="B6" s="2" t="s">
        <v>47</v>
      </c>
      <c r="C6" s="2" t="e">
        <f>FIND("◇",乗換案内検索結果入力シート!$F$8,C4)</f>
        <v>#VALUE!</v>
      </c>
      <c r="D6" s="2" t="s">
        <v>48</v>
      </c>
      <c r="E6" s="2" t="e">
        <f>FIND("｜",乗換案内検索結果入力シート!$F$8,FIND("◇"&amp;C8,乗換案内検索結果入力シート!$F$8))</f>
        <v>#VALUE!</v>
      </c>
      <c r="F6" s="2" t="e">
        <f>MID(乗換案内検索結果入力シート!$F$8,E6+3,E7-E6-4)</f>
        <v>#VALUE!</v>
      </c>
      <c r="G6" s="2" t="s">
        <v>41</v>
      </c>
      <c r="H6" s="2" t="e">
        <f>LEFT(F6,FIND(" ",F6)-1)</f>
        <v>#VALUE!</v>
      </c>
    </row>
    <row r="7" spans="1:8" x14ac:dyDescent="0.15">
      <c r="B7" s="2" t="s">
        <v>49</v>
      </c>
      <c r="C7" s="2" t="e">
        <f>FIND(" ",乗換案内検索結果入力シート!$F$8,C6)</f>
        <v>#VALUE!</v>
      </c>
      <c r="D7" s="2" t="s">
        <v>50</v>
      </c>
      <c r="E7" s="2" t="e">
        <f>FIND("｜",乗換案内検索結果入力シート!$F$8,E6+1)</f>
        <v>#VALUE!</v>
      </c>
      <c r="F7" s="2" t="e">
        <f>MID(乗換案内検索結果入力シート!$F$8,E7+3,E8-E7-4)</f>
        <v>#VALUE!</v>
      </c>
      <c r="G7" s="2" t="s">
        <v>28</v>
      </c>
      <c r="H7" s="2" t="e">
        <f>MID(F6,LEN(H6)+4,FIND("km",F6,LEN(H6))-LEN(H6)-4)</f>
        <v>#VALUE!</v>
      </c>
    </row>
    <row r="8" spans="1:8" x14ac:dyDescent="0.15">
      <c r="A8" s="2">
        <v>2</v>
      </c>
      <c r="B8" s="5" t="s">
        <v>51</v>
      </c>
      <c r="C8" s="5" t="e">
        <f>MID(乗換案内検索結果入力シート!$F$8,C6+1,C7-C6-1)</f>
        <v>#VALUE!</v>
      </c>
      <c r="D8" s="2" t="s">
        <v>52</v>
      </c>
      <c r="E8" s="2" t="e">
        <f>FIND("｜",乗換案内検索結果入力シート!$F$8,E7+1)</f>
        <v>#VALUE!</v>
      </c>
      <c r="G8" s="2" t="s">
        <v>46</v>
      </c>
      <c r="H8" s="2" t="e">
        <f>MID(F7,FIND("［",F7)+1,FIND("］",F7)-FIND("［",F7)-2)</f>
        <v>#VALUE!</v>
      </c>
    </row>
    <row r="9" spans="1:8" x14ac:dyDescent="0.15">
      <c r="B9" s="2" t="s">
        <v>53</v>
      </c>
      <c r="C9" s="2" t="e">
        <f>FIND("◇",乗換案内検索結果入力シート!$F$8,C7)</f>
        <v>#VALUE!</v>
      </c>
      <c r="D9" s="2" t="s">
        <v>54</v>
      </c>
      <c r="E9" s="2" t="e">
        <f>FIND("｜",乗換案内検索結果入力シート!$F$8,FIND("◇"&amp;C11,乗換案内検索結果入力シート!$F$8))</f>
        <v>#VALUE!</v>
      </c>
      <c r="F9" s="2" t="e">
        <f>MID(乗換案内検索結果入力シート!$F$8,E9+3,E10-E9-4)</f>
        <v>#VALUE!</v>
      </c>
      <c r="G9" s="2" t="s">
        <v>41</v>
      </c>
      <c r="H9" s="2" t="e">
        <f t="shared" ref="H9" si="0">LEFT(F9,FIND(" ",F9)-1)</f>
        <v>#VALUE!</v>
      </c>
    </row>
    <row r="10" spans="1:8" x14ac:dyDescent="0.15">
      <c r="B10" s="2" t="s">
        <v>55</v>
      </c>
      <c r="C10" s="2" t="e">
        <f>FIND(" ",乗換案内検索結果入力シート!$F$8,C9)</f>
        <v>#VALUE!</v>
      </c>
      <c r="D10" s="2" t="s">
        <v>56</v>
      </c>
      <c r="E10" s="2" t="e">
        <f>FIND("｜",乗換案内検索結果入力シート!$F$8,E9+1)</f>
        <v>#VALUE!</v>
      </c>
      <c r="F10" s="2" t="e">
        <f>MID(乗換案内検索結果入力シート!$F$8,E10+3,E11-E10-4)</f>
        <v>#VALUE!</v>
      </c>
      <c r="G10" s="2" t="s">
        <v>28</v>
      </c>
      <c r="H10" s="2" t="e">
        <f t="shared" ref="H10" si="1">MID(F9,LEN(H9)+4,FIND("km",F9,LEN(H9))-LEN(H9)-4)</f>
        <v>#VALUE!</v>
      </c>
    </row>
    <row r="11" spans="1:8" x14ac:dyDescent="0.15">
      <c r="A11" s="2">
        <v>3</v>
      </c>
      <c r="B11" s="5" t="s">
        <v>57</v>
      </c>
      <c r="C11" s="5" t="e">
        <f>MID(乗換案内検索結果入力シート!$F$8,C9+1,C10-C9-1)</f>
        <v>#VALUE!</v>
      </c>
      <c r="D11" s="2" t="s">
        <v>58</v>
      </c>
      <c r="E11" s="2" t="e">
        <f>FIND("｜",乗換案内検索結果入力シート!$F$8,E10+1)</f>
        <v>#VALUE!</v>
      </c>
      <c r="G11" s="2" t="s">
        <v>46</v>
      </c>
      <c r="H11" s="2" t="e">
        <f t="shared" ref="H11" si="2">MID(F10,FIND("［",F10)+1,FIND("］",F10)-FIND("［",F10)-2)</f>
        <v>#VALUE!</v>
      </c>
    </row>
    <row r="12" spans="1:8" x14ac:dyDescent="0.15">
      <c r="B12" s="2" t="s">
        <v>59</v>
      </c>
      <c r="C12" s="2" t="e">
        <f>FIND("◇",乗換案内検索結果入力シート!$F$8,C10)</f>
        <v>#VALUE!</v>
      </c>
      <c r="D12" s="2" t="s">
        <v>60</v>
      </c>
      <c r="E12" s="2" t="e">
        <f>FIND("｜",乗換案内検索結果入力シート!$F$8,FIND("◇"&amp;C14,乗換案内検索結果入力シート!$F$8))</f>
        <v>#VALUE!</v>
      </c>
      <c r="F12" s="2" t="e">
        <f>MID(乗換案内検索結果入力シート!$F$8,E12+3,E13-E12-4)</f>
        <v>#VALUE!</v>
      </c>
      <c r="G12" s="2" t="s">
        <v>41</v>
      </c>
      <c r="H12" s="2" t="e">
        <f t="shared" ref="H12" si="3">LEFT(F12,FIND(" ",F12)-1)</f>
        <v>#VALUE!</v>
      </c>
    </row>
    <row r="13" spans="1:8" x14ac:dyDescent="0.15">
      <c r="B13" s="2" t="s">
        <v>61</v>
      </c>
      <c r="C13" s="2" t="e">
        <f>FIND(" ",乗換案内検索結果入力シート!$F$8,C12)</f>
        <v>#VALUE!</v>
      </c>
      <c r="D13" s="2" t="s">
        <v>62</v>
      </c>
      <c r="E13" s="2" t="e">
        <f>FIND("｜",乗換案内検索結果入力シート!$F$8,E12+1)</f>
        <v>#VALUE!</v>
      </c>
      <c r="F13" s="2" t="e">
        <f>MID(乗換案内検索結果入力シート!$F$8,E13+3,E14-E13-4)</f>
        <v>#VALUE!</v>
      </c>
      <c r="G13" s="2" t="s">
        <v>28</v>
      </c>
      <c r="H13" s="2" t="e">
        <f t="shared" ref="H13" si="4">MID(F12,LEN(H12)+4,FIND("km",F12,LEN(H12))-LEN(H12)-4)</f>
        <v>#VALUE!</v>
      </c>
    </row>
    <row r="14" spans="1:8" x14ac:dyDescent="0.15">
      <c r="A14" s="2">
        <v>4</v>
      </c>
      <c r="B14" s="5" t="s">
        <v>63</v>
      </c>
      <c r="C14" s="5" t="e">
        <f>MID(乗換案内検索結果入力シート!$F$8,C12+1,C13-C12-1)</f>
        <v>#VALUE!</v>
      </c>
      <c r="D14" s="2" t="s">
        <v>64</v>
      </c>
      <c r="E14" s="2" t="e">
        <f>FIND("｜",乗換案内検索結果入力シート!$F$8,E13+1)</f>
        <v>#VALUE!</v>
      </c>
      <c r="G14" s="2" t="s">
        <v>46</v>
      </c>
      <c r="H14" s="2" t="e">
        <f t="shared" ref="H14" si="5">MID(F13,FIND("［",F13)+1,FIND("］",F13)-FIND("［",F13)-2)</f>
        <v>#VALUE!</v>
      </c>
    </row>
    <row r="15" spans="1:8" x14ac:dyDescent="0.15">
      <c r="B15" s="2" t="s">
        <v>65</v>
      </c>
      <c r="C15" s="2" t="e">
        <f>FIND("◇",乗換案内検索結果入力シート!$F$8,C13)</f>
        <v>#VALUE!</v>
      </c>
      <c r="D15" s="2" t="s">
        <v>66</v>
      </c>
      <c r="E15" s="2" t="e">
        <f>FIND("｜",乗換案内検索結果入力シート!$F$8,FIND("◇"&amp;C17,乗換案内検索結果入力シート!$F$8))</f>
        <v>#VALUE!</v>
      </c>
      <c r="F15" s="2" t="e">
        <f>MID(乗換案内検索結果入力シート!$F$8,E15+3,E16-E15-4)</f>
        <v>#VALUE!</v>
      </c>
      <c r="G15" s="2" t="s">
        <v>41</v>
      </c>
      <c r="H15" s="2" t="e">
        <f t="shared" ref="H15" si="6">LEFT(F15,FIND(" ",F15)-1)</f>
        <v>#VALUE!</v>
      </c>
    </row>
    <row r="16" spans="1:8" x14ac:dyDescent="0.15">
      <c r="B16" s="2" t="s">
        <v>67</v>
      </c>
      <c r="C16" s="2" t="e">
        <f>FIND(" ",乗換案内検索結果入力シート!$F$8,C15)</f>
        <v>#VALUE!</v>
      </c>
      <c r="D16" s="2" t="s">
        <v>68</v>
      </c>
      <c r="E16" s="2" t="e">
        <f>FIND("｜",乗換案内検索結果入力シート!$F$8,E15+1)</f>
        <v>#VALUE!</v>
      </c>
      <c r="F16" s="2" t="e">
        <f>MID(乗換案内検索結果入力シート!$F$8,E16+3,E17-E16-4)</f>
        <v>#VALUE!</v>
      </c>
      <c r="G16" s="2" t="s">
        <v>28</v>
      </c>
      <c r="H16" s="2" t="e">
        <f t="shared" ref="H16" si="7">MID(F15,LEN(H15)+4,FIND("km",F15,LEN(H15))-LEN(H15)-4)</f>
        <v>#VALUE!</v>
      </c>
    </row>
    <row r="17" spans="1:8" x14ac:dyDescent="0.15">
      <c r="A17" s="2">
        <v>5</v>
      </c>
      <c r="B17" s="5" t="s">
        <v>69</v>
      </c>
      <c r="C17" s="5" t="e">
        <f>MID(乗換案内検索結果入力シート!$F$8,C15+1,C16-C15-1)</f>
        <v>#VALUE!</v>
      </c>
      <c r="D17" s="2" t="s">
        <v>70</v>
      </c>
      <c r="E17" s="2" t="e">
        <f>FIND("｜",乗換案内検索結果入力シート!$F$8,E16+1)</f>
        <v>#VALUE!</v>
      </c>
      <c r="G17" s="2" t="s">
        <v>46</v>
      </c>
      <c r="H17" s="2" t="e">
        <f t="shared" ref="H17" si="8">MID(F16,FIND("［",F16)+1,FIND("］",F16)-FIND("［",F16)-2)</f>
        <v>#VALUE!</v>
      </c>
    </row>
    <row r="18" spans="1:8" x14ac:dyDescent="0.15">
      <c r="B18" s="2" t="s">
        <v>71</v>
      </c>
      <c r="C18" s="2" t="e">
        <f>FIND("◇",乗換案内検索結果入力シート!$F$8,C16)</f>
        <v>#VALUE!</v>
      </c>
      <c r="D18" s="2" t="s">
        <v>72</v>
      </c>
      <c r="E18" s="2" t="e">
        <f>FIND("｜",乗換案内検索結果入力シート!$F$8,FIND("◇"&amp;C20,乗換案内検索結果入力シート!$F$8))</f>
        <v>#VALUE!</v>
      </c>
      <c r="F18" s="2" t="e">
        <f>MID(乗換案内検索結果入力シート!$F$8,E18+3,E19-E18-4)</f>
        <v>#VALUE!</v>
      </c>
      <c r="G18" s="2" t="s">
        <v>41</v>
      </c>
      <c r="H18" s="2" t="e">
        <f t="shared" ref="H18" si="9">LEFT(F18,FIND(" ",F18)-1)</f>
        <v>#VALUE!</v>
      </c>
    </row>
    <row r="19" spans="1:8" x14ac:dyDescent="0.15">
      <c r="B19" s="2" t="s">
        <v>73</v>
      </c>
      <c r="C19" s="2" t="e">
        <f>FIND(" ",乗換案内検索結果入力シート!$F$8,C18)</f>
        <v>#VALUE!</v>
      </c>
      <c r="D19" s="2" t="s">
        <v>74</v>
      </c>
      <c r="E19" s="2" t="e">
        <f>FIND("｜",乗換案内検索結果入力シート!$F$8,E18+1)</f>
        <v>#VALUE!</v>
      </c>
      <c r="F19" s="2" t="e">
        <f>MID(乗換案内検索結果入力シート!$F$8,E19+3,E20-E19-4)</f>
        <v>#VALUE!</v>
      </c>
      <c r="G19" s="2" t="s">
        <v>28</v>
      </c>
      <c r="H19" s="2" t="e">
        <f t="shared" ref="H19" si="10">MID(F18,LEN(H18)+4,FIND("km",F18,LEN(H18))-LEN(H18)-4)</f>
        <v>#VALUE!</v>
      </c>
    </row>
    <row r="20" spans="1:8" x14ac:dyDescent="0.15">
      <c r="A20" s="2">
        <v>6</v>
      </c>
      <c r="B20" s="5" t="s">
        <v>75</v>
      </c>
      <c r="C20" s="5" t="e">
        <f>MID(乗換案内検索結果入力シート!$F$8,C18+1,C19-C18-1)</f>
        <v>#VALUE!</v>
      </c>
      <c r="D20" s="2" t="s">
        <v>76</v>
      </c>
      <c r="E20" s="2" t="e">
        <f>FIND("｜",乗換案内検索結果入力シート!$F$8,E19+1)</f>
        <v>#VALUE!</v>
      </c>
      <c r="G20" s="2" t="s">
        <v>46</v>
      </c>
      <c r="H20" s="2" t="e">
        <f t="shared" ref="H20" si="11">MID(F19,FIND("［",F19)+1,FIND("］",F19)-FIND("［",F19)-2)</f>
        <v>#VALUE!</v>
      </c>
    </row>
    <row r="21" spans="1:8" x14ac:dyDescent="0.15">
      <c r="B21" s="2" t="s">
        <v>77</v>
      </c>
      <c r="C21" s="2" t="e">
        <f>FIND("◇",乗換案内検索結果入力シート!$F$8,C19)</f>
        <v>#VALUE!</v>
      </c>
      <c r="D21" s="2" t="s">
        <v>78</v>
      </c>
      <c r="E21" s="2" t="e">
        <f>FIND("｜",乗換案内検索結果入力シート!$F$8,FIND("◇"&amp;C23,乗換案内検索結果入力シート!$F$8))</f>
        <v>#VALUE!</v>
      </c>
      <c r="F21" s="2" t="e">
        <f>MID(乗換案内検索結果入力シート!$F$8,E21+3,E22-E21-4)</f>
        <v>#VALUE!</v>
      </c>
      <c r="G21" s="2" t="s">
        <v>41</v>
      </c>
      <c r="H21" s="2" t="e">
        <f t="shared" ref="H21" si="12">LEFT(F21,FIND(" ",F21)-1)</f>
        <v>#VALUE!</v>
      </c>
    </row>
    <row r="22" spans="1:8" x14ac:dyDescent="0.15">
      <c r="B22" s="2" t="s">
        <v>79</v>
      </c>
      <c r="C22" s="2" t="e">
        <f>FIND(" ",乗換案内検索結果入力シート!$F$8,C21)</f>
        <v>#VALUE!</v>
      </c>
      <c r="D22" s="2" t="s">
        <v>80</v>
      </c>
      <c r="E22" s="2" t="e">
        <f>FIND("｜",乗換案内検索結果入力シート!$F$8,E21+1)</f>
        <v>#VALUE!</v>
      </c>
      <c r="F22" s="2" t="e">
        <f>MID(乗換案内検索結果入力シート!$F$8,E22+3,E23-E22-4)</f>
        <v>#VALUE!</v>
      </c>
      <c r="G22" s="2" t="s">
        <v>28</v>
      </c>
      <c r="H22" s="2" t="e">
        <f t="shared" ref="H22" si="13">MID(F21,LEN(H21)+4,FIND("km",F21,LEN(H21))-LEN(H21)-4)</f>
        <v>#VALUE!</v>
      </c>
    </row>
    <row r="23" spans="1:8" x14ac:dyDescent="0.15">
      <c r="A23" s="2">
        <v>7</v>
      </c>
      <c r="B23" s="5" t="s">
        <v>81</v>
      </c>
      <c r="C23" s="5" t="e">
        <f>MID(乗換案内検索結果入力シート!$F$8,C21+1,C22-C21-1)</f>
        <v>#VALUE!</v>
      </c>
      <c r="D23" s="2" t="s">
        <v>82</v>
      </c>
      <c r="E23" s="2" t="e">
        <f>FIND("｜",乗換案内検索結果入力シート!$F$8,E22+1)</f>
        <v>#VALUE!</v>
      </c>
      <c r="G23" s="2" t="s">
        <v>46</v>
      </c>
      <c r="H23" s="2" t="e">
        <f t="shared" ref="H23" si="14">MID(F22,FIND("［",F22)+1,FIND("］",F22)-FIND("［",F22)-2)</f>
        <v>#VALUE!</v>
      </c>
    </row>
    <row r="24" spans="1:8" x14ac:dyDescent="0.15">
      <c r="B24" s="2" t="s">
        <v>83</v>
      </c>
      <c r="C24" s="2" t="e">
        <f>FIND("◇",乗換案内検索結果入力シート!$F$8,C22)</f>
        <v>#VALUE!</v>
      </c>
      <c r="D24" s="2" t="s">
        <v>84</v>
      </c>
      <c r="E24" s="2" t="e">
        <f>FIND("｜",乗換案内検索結果入力シート!$F$8,FIND("◇"&amp;C26,乗換案内検索結果入力シート!$F$8))</f>
        <v>#VALUE!</v>
      </c>
      <c r="F24" s="2" t="e">
        <f>MID(乗換案内検索結果入力シート!$F$8,E24+3,E25-E24-4)</f>
        <v>#VALUE!</v>
      </c>
      <c r="G24" s="2" t="s">
        <v>41</v>
      </c>
      <c r="H24" s="2" t="e">
        <f t="shared" ref="H24" si="15">LEFT(F24,FIND(" ",F24)-1)</f>
        <v>#VALUE!</v>
      </c>
    </row>
    <row r="25" spans="1:8" x14ac:dyDescent="0.15">
      <c r="B25" s="2" t="s">
        <v>85</v>
      </c>
      <c r="C25" s="2" t="e">
        <f>FIND(" ",乗換案内検索結果入力シート!$F$8,C24)</f>
        <v>#VALUE!</v>
      </c>
      <c r="D25" s="2" t="s">
        <v>86</v>
      </c>
      <c r="E25" s="2" t="e">
        <f>FIND("｜",乗換案内検索結果入力シート!$F$8,E24+1)</f>
        <v>#VALUE!</v>
      </c>
      <c r="F25" s="2" t="e">
        <f>MID(乗換案内検索結果入力シート!$F$8,E25+3,E26-E25-4)</f>
        <v>#VALUE!</v>
      </c>
      <c r="G25" s="2" t="s">
        <v>28</v>
      </c>
      <c r="H25" s="2" t="e">
        <f t="shared" ref="H25" si="16">MID(F24,LEN(H24)+4,FIND("km",F24,LEN(H24))-LEN(H24)-4)</f>
        <v>#VALUE!</v>
      </c>
    </row>
    <row r="26" spans="1:8" x14ac:dyDescent="0.15">
      <c r="A26" s="2">
        <v>8</v>
      </c>
      <c r="B26" s="5" t="s">
        <v>87</v>
      </c>
      <c r="C26" s="5" t="e">
        <f>MID(乗換案内検索結果入力シート!$F$8,C24+1,C25-C24-1)</f>
        <v>#VALUE!</v>
      </c>
      <c r="D26" s="2" t="s">
        <v>88</v>
      </c>
      <c r="E26" s="2" t="e">
        <f>FIND("｜",乗換案内検索結果入力シート!$F$8,E25+1)</f>
        <v>#VALUE!</v>
      </c>
      <c r="G26" s="2" t="s">
        <v>46</v>
      </c>
      <c r="H26" s="2" t="e">
        <f t="shared" ref="H26" si="17">MID(F25,FIND("［",F25)+1,FIND("］",F25)-FIND("［",F25)-2)</f>
        <v>#VALUE!</v>
      </c>
    </row>
    <row r="27" spans="1:8" x14ac:dyDescent="0.15">
      <c r="B27" s="2" t="s">
        <v>89</v>
      </c>
      <c r="C27" s="2" t="e">
        <f>FIND("◇",乗換案内検索結果入力シート!$F$8,C25)</f>
        <v>#VALUE!</v>
      </c>
      <c r="D27" s="2" t="s">
        <v>90</v>
      </c>
      <c r="E27" s="2" t="e">
        <f>FIND("｜",乗換案内検索結果入力シート!$F$8,FIND("◇"&amp;C29,乗換案内検索結果入力シート!$F$8))</f>
        <v>#VALUE!</v>
      </c>
      <c r="F27" s="2" t="e">
        <f>MID(乗換案内検索結果入力シート!$F$8,E27+3,E28-E27-4)</f>
        <v>#VALUE!</v>
      </c>
      <c r="G27" s="2" t="s">
        <v>41</v>
      </c>
      <c r="H27" s="2" t="e">
        <f t="shared" ref="H27" si="18">LEFT(F27,FIND(" ",F27)-1)</f>
        <v>#VALUE!</v>
      </c>
    </row>
    <row r="28" spans="1:8" x14ac:dyDescent="0.15">
      <c r="B28" s="2" t="s">
        <v>91</v>
      </c>
      <c r="C28" s="2" t="e">
        <f>FIND(" ",乗換案内検索結果入力シート!$F$8,C27)</f>
        <v>#VALUE!</v>
      </c>
      <c r="D28" s="2" t="s">
        <v>92</v>
      </c>
      <c r="E28" s="2" t="e">
        <f>FIND("｜",乗換案内検索結果入力シート!$F$8,E27+1)</f>
        <v>#VALUE!</v>
      </c>
      <c r="F28" s="2" t="e">
        <f>MID(乗換案内検索結果入力シート!$F$8,E28+3,E29-E28-4)</f>
        <v>#VALUE!</v>
      </c>
      <c r="G28" s="2" t="s">
        <v>28</v>
      </c>
      <c r="H28" s="2" t="e">
        <f t="shared" ref="H28" si="19">MID(F27,LEN(H27)+4,FIND("km",F27,LEN(H27))-LEN(H27)-4)</f>
        <v>#VALUE!</v>
      </c>
    </row>
    <row r="29" spans="1:8" x14ac:dyDescent="0.15">
      <c r="A29" s="2">
        <v>9</v>
      </c>
      <c r="B29" s="5" t="s">
        <v>93</v>
      </c>
      <c r="C29" s="5" t="e">
        <f>MID(乗換案内検索結果入力シート!$F$8,C27+1,C28-C27-1)</f>
        <v>#VALUE!</v>
      </c>
      <c r="D29" s="2" t="s">
        <v>94</v>
      </c>
      <c r="E29" s="2" t="e">
        <f>FIND("｜",乗換案内検索結果入力シート!$F$8,E28+1)</f>
        <v>#VALUE!</v>
      </c>
      <c r="G29" s="2" t="s">
        <v>46</v>
      </c>
      <c r="H29" s="2" t="e">
        <f t="shared" ref="H29" si="20">MID(F28,FIND("［",F28)+1,FIND("］",F28)-FIND("［",F28)-2)</f>
        <v>#VALUE!</v>
      </c>
    </row>
    <row r="30" spans="1:8" x14ac:dyDescent="0.15">
      <c r="B30" s="2" t="s">
        <v>95</v>
      </c>
      <c r="C30" s="2" t="e">
        <f>FIND("■",乗換案内検索結果入力シート!$F$8,C3+1)</f>
        <v>#VALUE!</v>
      </c>
      <c r="D30" s="2" t="s">
        <v>96</v>
      </c>
      <c r="E30" s="2" t="e">
        <f>FIND("｜",乗換案内検索結果入力シート!$F$8,FIND("◇"&amp;C32,乗換案内検索結果入力シート!$F$8))</f>
        <v>#VALUE!</v>
      </c>
      <c r="F30" s="2" t="e">
        <f>MID(乗換案内検索結果入力シート!$F$8,E30+3,E31-E30-4)</f>
        <v>#VALUE!</v>
      </c>
      <c r="G30" s="2" t="s">
        <v>41</v>
      </c>
      <c r="H30" s="2" t="e">
        <f t="shared" ref="H30" si="21">LEFT(F30,FIND(" ",F30)-1)</f>
        <v>#VALUE!</v>
      </c>
    </row>
    <row r="31" spans="1:8" x14ac:dyDescent="0.15">
      <c r="B31" s="2" t="s">
        <v>97</v>
      </c>
      <c r="C31" s="2" t="e">
        <f>IFERROR(FIND(" ",乗換案内検索結果入力シート!$F$8,C30),IF(LEN(乗換案内検索結果入力シート!$F$8)=0,#VALUE!,LEN(乗換案内検索結果入力シート!$F$8)+1))</f>
        <v>#VALUE!</v>
      </c>
      <c r="D31" s="2" t="s">
        <v>98</v>
      </c>
      <c r="E31" s="2" t="e">
        <f>FIND("｜",乗換案内検索結果入力シート!$F$8,E30+1)</f>
        <v>#VALUE!</v>
      </c>
      <c r="F31" s="2" t="e">
        <f>MID(乗換案内検索結果入力シート!$F$8,E31+3,E32-E31-4)</f>
        <v>#VALUE!</v>
      </c>
      <c r="G31" s="2" t="s">
        <v>28</v>
      </c>
      <c r="H31" s="2" t="e">
        <f t="shared" ref="H31" si="22">MID(F30,LEN(H30)+4,FIND("km",F30,LEN(H30))-LEN(H30)-4)</f>
        <v>#VALUE!</v>
      </c>
    </row>
    <row r="32" spans="1:8" x14ac:dyDescent="0.15">
      <c r="A32" s="2">
        <v>10</v>
      </c>
      <c r="B32" s="3" t="s">
        <v>99</v>
      </c>
      <c r="C32" s="3" t="e">
        <f>IF(ISERROR(C31),MID(乗換案内検索結果入力シート!$F$8,C30+1,100),MID(乗換案内検索結果入力シート!$F$8,C30+1,C31-C30-1))</f>
        <v>#VALUE!</v>
      </c>
      <c r="D32" s="2" t="s">
        <v>100</v>
      </c>
      <c r="E32" s="2" t="e">
        <f>FIND("｜",乗換案内検索結果入力シート!$F$8,E31+1)</f>
        <v>#VALUE!</v>
      </c>
      <c r="G32" s="2" t="s">
        <v>46</v>
      </c>
      <c r="H32" s="2" t="e">
        <f t="shared" ref="H32" si="23">MID(F31,FIND("［",F31)+1,FIND("］",F31)-FIND("［",F31)-2)</f>
        <v>#VALUE!</v>
      </c>
    </row>
  </sheetData>
  <phoneticPr fontId="8"/>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0" tint="-0.499984740745262"/>
  </sheetPr>
  <dimension ref="A1:R30"/>
  <sheetViews>
    <sheetView showGridLines="0" zoomScale="85" zoomScaleNormal="85" workbookViewId="0">
      <selection activeCell="H1" sqref="H1"/>
    </sheetView>
  </sheetViews>
  <sheetFormatPr defaultRowHeight="13.5" x14ac:dyDescent="0.15"/>
  <cols>
    <col min="1" max="1" width="33.125" customWidth="1"/>
    <col min="4" max="5" width="10.5" bestFit="1" customWidth="1"/>
    <col min="6" max="6" width="40.25" bestFit="1" customWidth="1"/>
    <col min="7" max="7" width="15.125" bestFit="1" customWidth="1"/>
    <col min="8" max="8" width="9" style="64"/>
    <col min="9" max="12" width="5.625" customWidth="1"/>
    <col min="13" max="13" width="9.25" customWidth="1"/>
    <col min="14" max="14" width="16.75" customWidth="1"/>
    <col min="15" max="15" width="9.25" customWidth="1"/>
    <col min="16" max="16" width="16.75" customWidth="1"/>
    <col min="17" max="17" width="9.25" customWidth="1"/>
    <col min="18" max="18" width="16.75" customWidth="1"/>
  </cols>
  <sheetData>
    <row r="1" spans="1:18" x14ac:dyDescent="0.15">
      <c r="A1" s="19" t="s">
        <v>125</v>
      </c>
      <c r="B1" s="20" t="s">
        <v>124</v>
      </c>
      <c r="C1" s="1" t="s">
        <v>123</v>
      </c>
      <c r="F1" s="1" t="s">
        <v>145</v>
      </c>
      <c r="G1" s="1" t="s">
        <v>292</v>
      </c>
      <c r="M1" s="68" t="s">
        <v>180</v>
      </c>
      <c r="N1" s="68" t="s">
        <v>181</v>
      </c>
      <c r="O1" s="68" t="s">
        <v>182</v>
      </c>
      <c r="P1" s="68" t="s">
        <v>181</v>
      </c>
      <c r="Q1" s="68" t="s">
        <v>163</v>
      </c>
      <c r="R1" s="68" t="s">
        <v>125</v>
      </c>
    </row>
    <row r="2" spans="1:18" x14ac:dyDescent="0.15">
      <c r="A2" s="13" t="s">
        <v>126</v>
      </c>
      <c r="B2" s="11">
        <f t="shared" ref="B2:B13" si="0">C2*4</f>
        <v>481.6</v>
      </c>
      <c r="C2" s="10">
        <v>120.4</v>
      </c>
      <c r="F2" s="10" t="s">
        <v>127</v>
      </c>
      <c r="G2" s="10" t="b">
        <v>1</v>
      </c>
      <c r="M2" s="10" t="s">
        <v>160</v>
      </c>
      <c r="N2" s="10" t="s">
        <v>164</v>
      </c>
      <c r="O2" s="10" t="s">
        <v>161</v>
      </c>
      <c r="P2" s="10" t="s">
        <v>191</v>
      </c>
      <c r="Q2" s="76"/>
      <c r="R2" s="76"/>
    </row>
    <row r="3" spans="1:18" x14ac:dyDescent="0.15">
      <c r="A3" s="14" t="s">
        <v>130</v>
      </c>
      <c r="B3" s="11">
        <f t="shared" si="0"/>
        <v>796</v>
      </c>
      <c r="C3" s="12">
        <v>199</v>
      </c>
      <c r="F3" s="10" t="s">
        <v>335</v>
      </c>
      <c r="G3" s="10" t="b">
        <v>0</v>
      </c>
      <c r="M3" s="10" t="s">
        <v>160</v>
      </c>
      <c r="N3" s="10" t="s">
        <v>165</v>
      </c>
      <c r="O3" s="10" t="s">
        <v>161</v>
      </c>
      <c r="P3" s="10" t="s">
        <v>165</v>
      </c>
      <c r="Q3" s="76"/>
      <c r="R3" s="76"/>
    </row>
    <row r="4" spans="1:18" x14ac:dyDescent="0.15">
      <c r="A4" s="14" t="s">
        <v>131</v>
      </c>
      <c r="B4" s="11">
        <f t="shared" si="0"/>
        <v>1164</v>
      </c>
      <c r="C4" s="12">
        <v>291</v>
      </c>
      <c r="F4" s="10" t="s">
        <v>128</v>
      </c>
      <c r="G4" s="10" t="b">
        <v>1</v>
      </c>
      <c r="M4" s="10" t="s">
        <v>160</v>
      </c>
      <c r="N4" s="10" t="s">
        <v>166</v>
      </c>
      <c r="O4" s="10" t="s">
        <v>161</v>
      </c>
      <c r="P4" s="10" t="s">
        <v>166</v>
      </c>
      <c r="Q4" s="76"/>
      <c r="R4" s="76"/>
    </row>
    <row r="5" spans="1:18" x14ac:dyDescent="0.15">
      <c r="A5" s="14" t="s">
        <v>132</v>
      </c>
      <c r="B5" s="11">
        <f t="shared" si="0"/>
        <v>171.6</v>
      </c>
      <c r="C5" s="12">
        <v>42.9</v>
      </c>
      <c r="F5" s="10" t="s">
        <v>129</v>
      </c>
      <c r="G5" s="10" t="b">
        <v>1</v>
      </c>
      <c r="M5" s="10" t="s">
        <v>160</v>
      </c>
      <c r="N5" s="10" t="s">
        <v>177</v>
      </c>
      <c r="O5" s="10" t="s">
        <v>161</v>
      </c>
      <c r="P5" s="10" t="s">
        <v>177</v>
      </c>
      <c r="Q5" s="76"/>
      <c r="R5" s="76"/>
    </row>
    <row r="6" spans="1:18" x14ac:dyDescent="0.15">
      <c r="A6" s="14" t="s">
        <v>133</v>
      </c>
      <c r="B6" s="11">
        <f t="shared" si="0"/>
        <v>108.8</v>
      </c>
      <c r="C6" s="12">
        <v>27.2</v>
      </c>
      <c r="F6" s="10" t="s">
        <v>336</v>
      </c>
      <c r="G6" s="10" t="b">
        <v>0</v>
      </c>
      <c r="M6" s="10" t="s">
        <v>160</v>
      </c>
      <c r="N6" s="10" t="s">
        <v>173</v>
      </c>
      <c r="O6" s="10" t="s">
        <v>162</v>
      </c>
      <c r="P6" s="10" t="s">
        <v>174</v>
      </c>
      <c r="Q6" s="76"/>
      <c r="R6" s="76"/>
    </row>
    <row r="7" spans="1:18" x14ac:dyDescent="0.15">
      <c r="A7" s="14" t="s">
        <v>134</v>
      </c>
      <c r="B7" s="11">
        <f t="shared" si="0"/>
        <v>195.2</v>
      </c>
      <c r="C7" s="12">
        <v>48.8</v>
      </c>
      <c r="F7" s="10" t="s">
        <v>0</v>
      </c>
      <c r="G7" s="10" t="b">
        <v>0</v>
      </c>
      <c r="M7" s="10" t="s">
        <v>160</v>
      </c>
      <c r="N7" s="10" t="s">
        <v>167</v>
      </c>
      <c r="O7" s="10" t="s">
        <v>161</v>
      </c>
      <c r="P7" s="10" t="s">
        <v>167</v>
      </c>
      <c r="Q7" s="76"/>
      <c r="R7" s="76"/>
    </row>
    <row r="8" spans="1:18" x14ac:dyDescent="0.15">
      <c r="A8" s="15" t="s">
        <v>135</v>
      </c>
      <c r="B8" s="11">
        <f t="shared" si="0"/>
        <v>270.39999999999998</v>
      </c>
      <c r="C8" s="12">
        <v>67.599999999999994</v>
      </c>
      <c r="F8" s="10" t="s">
        <v>190</v>
      </c>
      <c r="G8" s="10" t="b">
        <v>0</v>
      </c>
      <c r="M8" s="10" t="s">
        <v>160</v>
      </c>
      <c r="N8" s="10" t="s">
        <v>168</v>
      </c>
      <c r="O8" s="10" t="s">
        <v>161</v>
      </c>
      <c r="P8" s="10" t="s">
        <v>168</v>
      </c>
      <c r="Q8" s="10" t="s">
        <v>190</v>
      </c>
      <c r="R8" s="10" t="s">
        <v>168</v>
      </c>
    </row>
    <row r="9" spans="1:18" x14ac:dyDescent="0.15">
      <c r="A9" s="13" t="s">
        <v>136</v>
      </c>
      <c r="B9" s="11">
        <f t="shared" si="0"/>
        <v>481.6</v>
      </c>
      <c r="C9" s="10">
        <v>120.4</v>
      </c>
      <c r="F9" s="118"/>
      <c r="G9" s="118"/>
      <c r="M9" s="10" t="s">
        <v>160</v>
      </c>
      <c r="N9" s="10" t="s">
        <v>169</v>
      </c>
      <c r="O9" s="10" t="s">
        <v>161</v>
      </c>
      <c r="P9" s="10" t="s">
        <v>169</v>
      </c>
      <c r="Q9" s="76"/>
      <c r="R9" s="76"/>
    </row>
    <row r="10" spans="1:18" x14ac:dyDescent="0.15">
      <c r="A10" s="14" t="s">
        <v>137</v>
      </c>
      <c r="B10" s="11">
        <f t="shared" si="0"/>
        <v>796</v>
      </c>
      <c r="C10" s="12">
        <v>199</v>
      </c>
      <c r="M10" s="10" t="s">
        <v>160</v>
      </c>
      <c r="N10" s="10" t="s">
        <v>170</v>
      </c>
      <c r="O10" s="10" t="s">
        <v>161</v>
      </c>
      <c r="P10" s="10" t="s">
        <v>170</v>
      </c>
      <c r="Q10" s="76"/>
      <c r="R10" s="76"/>
    </row>
    <row r="11" spans="1:18" x14ac:dyDescent="0.15">
      <c r="A11" s="14" t="s">
        <v>138</v>
      </c>
      <c r="B11" s="11">
        <f t="shared" si="0"/>
        <v>1164</v>
      </c>
      <c r="C11" s="12">
        <v>291</v>
      </c>
      <c r="M11" s="69"/>
      <c r="N11" s="69"/>
      <c r="O11" s="10" t="s">
        <v>161</v>
      </c>
      <c r="P11" s="10" t="s">
        <v>171</v>
      </c>
      <c r="Q11" s="76"/>
      <c r="R11" s="76"/>
    </row>
    <row r="12" spans="1:18" x14ac:dyDescent="0.15">
      <c r="A12" s="14" t="s">
        <v>139</v>
      </c>
      <c r="B12" s="11">
        <f t="shared" si="0"/>
        <v>4200</v>
      </c>
      <c r="C12" s="12">
        <v>1050</v>
      </c>
      <c r="M12" s="69"/>
      <c r="N12" s="69"/>
      <c r="O12" s="10" t="s">
        <v>161</v>
      </c>
      <c r="P12" s="10" t="s">
        <v>172</v>
      </c>
      <c r="Q12" s="76"/>
      <c r="R12" s="76"/>
    </row>
    <row r="13" spans="1:18" x14ac:dyDescent="0.15">
      <c r="A13" s="14" t="s">
        <v>140</v>
      </c>
      <c r="B13" s="11">
        <f t="shared" si="0"/>
        <v>4400</v>
      </c>
      <c r="C13" s="12">
        <v>1100</v>
      </c>
      <c r="M13" s="69"/>
      <c r="N13" s="69"/>
      <c r="O13" s="10" t="s">
        <v>161</v>
      </c>
      <c r="P13" s="10" t="s">
        <v>175</v>
      </c>
      <c r="Q13" s="76"/>
      <c r="R13" s="76"/>
    </row>
    <row r="14" spans="1:18" x14ac:dyDescent="0.15">
      <c r="A14" s="16" t="s">
        <v>146</v>
      </c>
      <c r="B14" s="10">
        <v>653.20000000000005</v>
      </c>
      <c r="C14" s="10">
        <v>163.30000000000001</v>
      </c>
      <c r="M14" s="69"/>
      <c r="N14" s="69"/>
      <c r="O14" s="10" t="s">
        <v>161</v>
      </c>
      <c r="P14" s="10" t="s">
        <v>176</v>
      </c>
      <c r="Q14" s="76"/>
      <c r="R14" s="76"/>
    </row>
    <row r="15" spans="1:18" x14ac:dyDescent="0.15">
      <c r="A15" s="17" t="s">
        <v>183</v>
      </c>
      <c r="B15" s="10">
        <v>590.4</v>
      </c>
      <c r="C15" s="10">
        <v>147.6</v>
      </c>
      <c r="M15" s="69"/>
      <c r="N15" s="69"/>
      <c r="O15" s="10" t="s">
        <v>161</v>
      </c>
      <c r="P15" s="10" t="s">
        <v>179</v>
      </c>
      <c r="Q15" s="76"/>
      <c r="R15" s="76"/>
    </row>
    <row r="16" spans="1:18" x14ac:dyDescent="0.15">
      <c r="A16" s="17" t="s">
        <v>184</v>
      </c>
      <c r="B16" s="10">
        <v>676.8</v>
      </c>
      <c r="C16" s="10">
        <v>169.2</v>
      </c>
      <c r="M16" s="69"/>
      <c r="N16" s="69"/>
      <c r="O16" s="10" t="s">
        <v>161</v>
      </c>
      <c r="P16" s="10" t="s">
        <v>178</v>
      </c>
      <c r="Q16" s="76"/>
      <c r="R16" s="76"/>
    </row>
    <row r="17" spans="1:18" x14ac:dyDescent="0.15">
      <c r="A17" s="18" t="s">
        <v>185</v>
      </c>
      <c r="B17" s="10">
        <v>752</v>
      </c>
      <c r="C17" s="10">
        <v>188</v>
      </c>
      <c r="M17" s="69"/>
      <c r="N17" s="69"/>
      <c r="O17" s="69"/>
      <c r="P17" s="69"/>
      <c r="Q17" s="10" t="s">
        <v>190</v>
      </c>
      <c r="R17" s="10" t="s">
        <v>192</v>
      </c>
    </row>
    <row r="18" spans="1:18" x14ac:dyDescent="0.15">
      <c r="A18" s="14" t="s">
        <v>141</v>
      </c>
      <c r="B18" s="11">
        <f t="shared" ref="B18:B22" si="1">C18*4</f>
        <v>171.6</v>
      </c>
      <c r="C18" s="12">
        <v>42.9</v>
      </c>
      <c r="M18" s="69"/>
      <c r="N18" s="69"/>
      <c r="O18" s="69"/>
      <c r="P18" s="69"/>
      <c r="Q18" s="10" t="s">
        <v>190</v>
      </c>
      <c r="R18" s="10" t="s">
        <v>193</v>
      </c>
    </row>
    <row r="19" spans="1:18" x14ac:dyDescent="0.15">
      <c r="A19" s="14" t="s">
        <v>142</v>
      </c>
      <c r="B19" s="11">
        <f t="shared" si="1"/>
        <v>108.8</v>
      </c>
      <c r="C19" s="12">
        <v>27.2</v>
      </c>
      <c r="M19" s="69"/>
      <c r="N19" s="69"/>
      <c r="O19" s="69"/>
      <c r="P19" s="69"/>
      <c r="Q19" s="10" t="s">
        <v>190</v>
      </c>
      <c r="R19" s="10" t="s">
        <v>194</v>
      </c>
    </row>
    <row r="20" spans="1:18" x14ac:dyDescent="0.15">
      <c r="A20" s="14" t="s">
        <v>143</v>
      </c>
      <c r="B20" s="11">
        <f t="shared" si="1"/>
        <v>195.2</v>
      </c>
      <c r="C20" s="12">
        <v>48.8</v>
      </c>
      <c r="M20" s="69"/>
      <c r="N20" s="69"/>
      <c r="O20" s="69"/>
      <c r="P20" s="69"/>
      <c r="Q20" s="10" t="s">
        <v>190</v>
      </c>
      <c r="R20" s="10" t="s">
        <v>195</v>
      </c>
    </row>
    <row r="21" spans="1:18" x14ac:dyDescent="0.15">
      <c r="A21" s="15" t="s">
        <v>144</v>
      </c>
      <c r="B21" s="11">
        <f t="shared" si="1"/>
        <v>270.39999999999998</v>
      </c>
      <c r="C21" s="12">
        <v>67.599999999999994</v>
      </c>
    </row>
    <row r="22" spans="1:18" x14ac:dyDescent="0.15">
      <c r="A22" s="18" t="s">
        <v>186</v>
      </c>
      <c r="B22" s="11">
        <f t="shared" si="1"/>
        <v>752</v>
      </c>
      <c r="C22" s="10">
        <v>188</v>
      </c>
    </row>
    <row r="23" spans="1:18" x14ac:dyDescent="0.15">
      <c r="A23" s="73" t="s">
        <v>187</v>
      </c>
      <c r="B23" s="66">
        <f t="shared" ref="B23:B30" si="2">C23*4</f>
        <v>200</v>
      </c>
      <c r="C23" s="65">
        <v>50</v>
      </c>
      <c r="D23" s="64" t="s">
        <v>159</v>
      </c>
    </row>
    <row r="24" spans="1:18" x14ac:dyDescent="0.15">
      <c r="A24" s="74" t="s">
        <v>201</v>
      </c>
      <c r="B24" s="66">
        <f t="shared" si="2"/>
        <v>860</v>
      </c>
      <c r="C24" s="65">
        <v>215</v>
      </c>
      <c r="D24" s="64" t="s">
        <v>159</v>
      </c>
    </row>
    <row r="25" spans="1:18" x14ac:dyDescent="0.15">
      <c r="A25" s="75" t="s">
        <v>188</v>
      </c>
      <c r="B25" s="66">
        <f t="shared" si="2"/>
        <v>653.20000000000005</v>
      </c>
      <c r="C25" s="65">
        <v>163.30000000000001</v>
      </c>
      <c r="D25" s="64" t="s">
        <v>159</v>
      </c>
    </row>
    <row r="26" spans="1:18" x14ac:dyDescent="0.15">
      <c r="A26" s="70" t="s">
        <v>196</v>
      </c>
      <c r="B26" s="66">
        <f t="shared" si="2"/>
        <v>312</v>
      </c>
      <c r="C26" s="65">
        <v>78</v>
      </c>
      <c r="D26" s="64" t="s">
        <v>189</v>
      </c>
    </row>
    <row r="27" spans="1:18" x14ac:dyDescent="0.15">
      <c r="A27" s="71" t="s">
        <v>197</v>
      </c>
      <c r="B27" s="66">
        <f t="shared" si="2"/>
        <v>304</v>
      </c>
      <c r="C27" s="65">
        <v>76</v>
      </c>
      <c r="D27" s="64" t="s">
        <v>189</v>
      </c>
    </row>
    <row r="28" spans="1:18" x14ac:dyDescent="0.15">
      <c r="A28" s="71" t="s">
        <v>198</v>
      </c>
      <c r="B28" s="66">
        <f t="shared" si="2"/>
        <v>64</v>
      </c>
      <c r="C28" s="65">
        <v>16</v>
      </c>
      <c r="D28" s="64" t="s">
        <v>189</v>
      </c>
    </row>
    <row r="29" spans="1:18" x14ac:dyDescent="0.15">
      <c r="A29" s="71" t="s">
        <v>199</v>
      </c>
      <c r="B29" s="66">
        <f t="shared" si="2"/>
        <v>314.39999999999998</v>
      </c>
      <c r="C29" s="65">
        <v>78.599999999999994</v>
      </c>
      <c r="D29" s="64" t="s">
        <v>189</v>
      </c>
    </row>
    <row r="30" spans="1:18" x14ac:dyDescent="0.15">
      <c r="A30" s="72" t="s">
        <v>200</v>
      </c>
      <c r="B30" s="66">
        <f t="shared" si="2"/>
        <v>108.8</v>
      </c>
      <c r="C30" s="65">
        <v>27.2</v>
      </c>
      <c r="D30" s="64" t="s">
        <v>189</v>
      </c>
    </row>
  </sheetData>
  <phoneticPr fontId="8"/>
  <pageMargins left="0.7" right="0.7" top="0.75" bottom="0.75" header="0.3" footer="0.3"/>
  <pageSetup paperSize="9" scale="96"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6</vt:i4>
      </vt:variant>
    </vt:vector>
  </HeadingPairs>
  <TitlesOfParts>
    <vt:vector size="22" baseType="lpstr">
      <vt:lpstr>基本情報（情報連携シート）</vt:lpstr>
      <vt:lpstr>乗換案内検索結果入力シート</vt:lpstr>
      <vt:lpstr>本人旅行経路（情報連携シート）</vt:lpstr>
      <vt:lpstr>家族旅行経路（情報連携シート）</vt:lpstr>
      <vt:lpstr>請求内訳書</vt:lpstr>
      <vt:lpstr>請求内訳書 (予備)</vt:lpstr>
      <vt:lpstr>リスト</vt:lpstr>
      <vt:lpstr>経路検索</vt:lpstr>
      <vt:lpstr>経路検索1</vt:lpstr>
      <vt:lpstr>経路検索2</vt:lpstr>
      <vt:lpstr>経路検索3</vt:lpstr>
      <vt:lpstr>経路検索F</vt:lpstr>
      <vt:lpstr>経路検索1F</vt:lpstr>
      <vt:lpstr>経路検索2F</vt:lpstr>
      <vt:lpstr>経路検索3F</vt:lpstr>
      <vt:lpstr>キロマスタ</vt:lpstr>
      <vt:lpstr>キロマスタ!Print_Area</vt:lpstr>
      <vt:lpstr>'家族旅行経路（情報連携シート）'!Print_Area</vt:lpstr>
      <vt:lpstr>'基本情報（情報連携シート）'!Print_Area</vt:lpstr>
      <vt:lpstr>請求内訳書!Print_Area</vt:lpstr>
      <vt:lpstr>'本人旅行経路（情報連携シート）'!Print_Area</vt:lpstr>
      <vt:lpstr>'基本情報（情報連携シート）'!Print_Titles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齋藤　翔太</dc:creator>
  <cp:lastModifiedBy>Iwaki, Takuya</cp:lastModifiedBy>
  <cp:lastPrinted>2025-03-10T12:46:31Z</cp:lastPrinted>
  <dcterms:created xsi:type="dcterms:W3CDTF">2012-03-06T09:21:19Z</dcterms:created>
  <dcterms:modified xsi:type="dcterms:W3CDTF">2025-04-11T10:31:27Z</dcterms:modified>
</cp:coreProperties>
</file>